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サマリー" sheetId="2" state="visible" r:id="rId2"/>
    <sheet name="20260525_ClassE" sheetId="3" state="visible" r:id="rId3"/>
    <sheet name="20260831_Beginner" sheetId="4" state="visible" r:id="rId4"/>
    <sheet name="テンプレート" sheetId="5" state="visible" r:id="rId5"/>
    <sheet name="記入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hh:mm"/>
    <numFmt numFmtId="166" formatCode="#,##0;-#,##0;&quot;-&quot;"/>
    <numFmt numFmtId="167" formatCode="0.0%;-0.0%;&quot;-&quot;"/>
    <numFmt numFmtId="168" formatCode="0.0;-0.0;&quot;-&quot;"/>
  </numFmts>
  <fonts count="9">
    <font>
      <name val="Calibri"/>
      <family val="2"/>
      <color theme="1"/>
      <sz val="11"/>
      <scheme val="minor"/>
    </font>
    <font>
      <name val="Meiryo"/>
      <b val="1"/>
      <color rgb="005A1425"/>
      <sz val="16"/>
    </font>
    <font>
      <name val="Meiryo"/>
      <color rgb="007F7F7F"/>
      <sz val="9"/>
    </font>
    <font>
      <name val="Meiryo"/>
      <b val="1"/>
      <color rgb="005A1425"/>
      <sz val="12"/>
    </font>
    <font>
      <name val="Meiryo"/>
      <b val="1"/>
      <color rgb="002A1418"/>
      <sz val="10"/>
    </font>
    <font>
      <name val="Meiryo"/>
      <color rgb="000000FF"/>
      <sz val="10"/>
    </font>
    <font>
      <name val="Meiryo"/>
      <b val="1"/>
      <color rgb="005A1425"/>
      <sz val="10"/>
    </font>
    <font>
      <name val="Meiryo"/>
      <b val="1"/>
      <color rgb="00FFFFFF"/>
      <sz val="10"/>
    </font>
    <font>
      <name val="Meiryo"/>
      <color rgb="002A1418"/>
      <sz val="10"/>
    </font>
  </fonts>
  <fills count="6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5A1425"/>
      </patternFill>
    </fill>
    <fill>
      <patternFill patternType="solid">
        <fgColor rgb="00F2F2F2"/>
      </patternFill>
    </fill>
    <fill>
      <patternFill patternType="solid">
        <fgColor rgb="00FAF6F2"/>
      </patternFill>
    </fill>
  </fills>
  <borders count="8">
    <border>
      <left/>
      <right/>
      <top/>
      <bottom/>
      <diagonal/>
    </border>
    <border>
      <bottom style="medium">
        <color rgb="00D4A24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 style="medium">
        <color rgb="00D4A24E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7" fillId="3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6" fillId="0" borderId="0" pivotButton="0" quotePrefix="0" xfId="0"/>
    <xf numFmtId="0" fontId="5" fillId="2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2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0" fillId="0" borderId="2" pivotButton="0" quotePrefix="0" xfId="0"/>
    <xf numFmtId="166" fontId="1" fillId="5" borderId="2" applyAlignment="1" pivotButton="0" quotePrefix="0" xfId="0">
      <alignment horizontal="center" vertical="center"/>
    </xf>
    <xf numFmtId="168" fontId="1" fillId="5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vertical="center" wrapText="1"/>
    </xf>
    <xf numFmtId="167" fontId="8" fillId="4" borderId="2" applyAlignment="1" pivotButton="0" quotePrefix="0" xfId="0">
      <alignment vertical="center" wrapText="1"/>
    </xf>
    <xf numFmtId="168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6" fontId="4" fillId="4" borderId="2" applyAlignment="1" pivotButton="0" quotePrefix="0" xfId="0">
      <alignment vertical="center" wrapText="1"/>
    </xf>
    <xf numFmtId="0" fontId="3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0" fillId="0" borderId="3" pivotButton="0" quotePrefix="0" xfId="0"/>
    <xf numFmtId="0" fontId="0" fillId="2" borderId="2" pivotButton="0" quotePrefix="0" xfId="0"/>
    <xf numFmtId="0" fontId="0" fillId="0" borderId="6" pivotButton="0" quotePrefix="0" xfId="0"/>
    <xf numFmtId="0" fontId="0" fillId="0" borderId="7" pivotButton="0" quotePrefix="0" xfId="0"/>
    <xf numFmtId="164" fontId="5" fillId="2" borderId="2" applyAlignment="1" pivotButton="0" quotePrefix="0" xfId="0">
      <alignment vertical="center" wrapText="1"/>
    </xf>
    <xf numFmtId="164" fontId="5" fillId="2" borderId="2" applyAlignment="1" pivotButton="0" quotePrefix="0" xfId="0">
      <alignment horizontal="left" vertical="center"/>
    </xf>
    <xf numFmtId="165" fontId="5" fillId="2" borderId="2" applyAlignment="1" pivotButton="0" quotePrefix="0" xfId="0">
      <alignment vertical="center" wrapText="1"/>
    </xf>
    <xf numFmtId="166" fontId="5" fillId="2" borderId="2" applyAlignment="1" pivotButton="0" quotePrefix="0" xfId="0">
      <alignment vertical="center" wrapText="1"/>
    </xf>
    <xf numFmtId="0" fontId="2" fillId="0" borderId="1" pivotButton="0" quotePrefix="0" xfId="0"/>
    <xf numFmtId="168" fontId="5" fillId="2" borderId="2" applyAlignment="1" pivotButton="0" quotePrefix="0" xfId="0">
      <alignment vertical="center" wrapText="1"/>
    </xf>
    <xf numFmtId="167" fontId="5" fillId="2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center"/>
    </xf>
    <xf numFmtId="0" fontId="5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report</author>
  </authors>
  <commentList>
    <comment ref="C52" authorId="0" shapeId="0">
      <text>
        <t>既定値＝計画参加者数×事前決済の会費。見込みが違う場合は上書きしてよい。</t>
      </text>
    </comment>
  </commentList>
</comments>
</file>

<file path=xl/comments/comment2.xml><?xml version="1.0" encoding="utf-8"?>
<comments xmlns="http://schemas.openxmlformats.org/spreadsheetml/2006/main">
  <authors>
    <author>report</author>
  </authors>
  <commentList>
    <comment ref="C52" authorId="0" shapeId="0">
      <text>
        <t>既定値＝計画参加者数×事前決済の会費。見込みが違う場合は上書きしてよい。</t>
      </text>
    </comment>
  </commentList>
</comments>
</file>

<file path=xl/comments/comment3.xml><?xml version="1.0" encoding="utf-8"?>
<comments xmlns="http://schemas.openxmlformats.org/spreadsheetml/2006/main">
  <authors>
    <author>report</author>
  </authors>
  <commentList>
    <comment ref="C52" authorId="0" shapeId="0">
      <text>
        <t>既定値＝計画参加者数×事前決済の会費。見込みが違う場合は上書きしてよい。</t>
      </text>
    </comment>
  </commentList>
</comments>
</file>

<file path=xl/comments/comment4.xml><?xml version="1.0" encoding="utf-8"?>
<comments xmlns="http://schemas.openxmlformats.org/spreadsheetml/2006/main">
  <authors>
    <author>report</author>
  </authors>
  <commentList>
    <comment ref="C52" authorId="0" shapeId="0">
      <text>
        <t>既定値＝計画参加者数×事前決済の会費。見込みが違う場合は上書きしてよい。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>
      <c r="B1" s="1" t="inlineStr">
        <is>
          <t>使い方</t>
        </is>
      </c>
    </row>
    <row r="3" ht="46" customHeight="1">
      <c r="B3" s="2" t="inlineStr">
        <is>
          <t>シート構成</t>
        </is>
      </c>
      <c r="C3" s="3" t="inlineStr">
        <is>
          <t>サマリー：全開催の一覧と累計 ／ 各回シート：1開催＝1シート ／ テンプレート：新しい回の雛形 ／ 記入例：書き方の見本（集計対象外）</t>
        </is>
      </c>
    </row>
    <row r="4" ht="46" customHeight="1">
      <c r="B4" s="2" t="inlineStr">
        <is>
          <t>セルの色</t>
        </is>
      </c>
      <c r="C4" s="3" t="inlineStr">
        <is>
          <t>黄色＝入力セル（青文字）／ グレー＝自動計算（数式。上書きしない）</t>
        </is>
      </c>
    </row>
    <row r="5" ht="46" customHeight="1">
      <c r="B5" s="2" t="inlineStr">
        <is>
          <t>新しい回を追加する</t>
        </is>
      </c>
      <c r="C5" s="3" t="inlineStr">
        <is>
          <t>①「テンプレート」シートを右クリック→コピー ②シート名を「YYYYMMDD_種別」に変更 ③サマリーB列の空き行にそのシート名を入力（自動で集計される）</t>
        </is>
      </c>
    </row>
    <row r="6" ht="46" customHeight="1">
      <c r="B6" s="2" t="inlineStr">
        <is>
          <t>実施前（告知開始〜前日）</t>
        </is>
      </c>
      <c r="C6" s="3" t="inlineStr">
        <is>
          <t>1.基本情報／チェックリスト、2.KPIの【計画】列、3.チャネル別の計画、4.収支の【計画】列、5.広告の予算、6.提供ワイン、7.タイムテーブルを記入。参加者リストには申込が入り次第追加（ステータス＝申込）</t>
        </is>
      </c>
    </row>
    <row r="7" ht="46" customHeight="1">
      <c r="B7" s="2" t="inlineStr">
        <is>
          <t>当日</t>
        </is>
      </c>
      <c r="C7" s="3" t="inlineStr">
        <is>
          <t>受付でステータスを「参加／無断欠席」に更新し、会費受領額・知ったきっかけ・写真掲載の同意を記入</t>
        </is>
      </c>
    </row>
    <row r="8" ht="46" customHeight="1">
      <c r="B8" s="2" t="inlineStr">
        <is>
          <t>実施後（3日以内）</t>
        </is>
      </c>
      <c r="C8" s="3" t="inlineStr">
        <is>
          <t>満足度・次回参加意向・物販額、収支の【実績】（会場費など手入力分）、広告の消化額・リード数、8.振り返りを記入 → 責任者（高橋）が次回方針を判断</t>
        </is>
      </c>
    </row>
    <row r="9" ht="46" customHeight="1">
      <c r="B9" s="2" t="inlineStr">
        <is>
          <t>自動集計の定義</t>
        </is>
      </c>
      <c r="C9" s="3" t="inlineStr">
        <is>
          <t>申込数＝参加者リストの氏名入力数 ／ 参加者数＝ステータス「参加」／ 会費収入＝会費受領額の合計 ／ ワイン仕入＝6.提供ワインの小計合計 ／ 広告費＝5.広告の消化額合計 ／ 広告CPA＝広告費÷「知ったきっかけ＝Meta広告」の参加者数</t>
        </is>
      </c>
    </row>
    <row r="10" ht="46" customHeight="1">
      <c r="B10" s="2" t="inlineStr">
        <is>
          <t>男女比の扱い</t>
        </is>
      </c>
      <c r="C10" s="3" t="inlineStr">
        <is>
          <t>男女別の目標・実績は内部管理用。告知・広告・SNSには出さない（運用マニュアル4-1）</t>
        </is>
      </c>
    </row>
    <row r="11" ht="46" customHeight="1">
      <c r="B11" s="2" t="inlineStr">
        <is>
          <t>個人情報の管理</t>
        </is>
      </c>
      <c r="C11" s="3" t="inlineStr">
        <is>
          <t>参加者リストに個人情報を記入したファイルはGitHubに置かない。閲覧権限を責任者・運営担当に限定したGoogleドライブで管理する（運用マニュアル2章⑥・3-1）</t>
        </is>
      </c>
    </row>
    <row r="12" ht="46" customHeight="1">
      <c r="B12" s="2" t="inlineStr">
        <is>
          <t>Googleスプレッドシートで使う場合</t>
        </is>
      </c>
      <c r="C12" s="3" t="inlineStr">
        <is>
          <t>Googleドライブにアップロード →「Googleスプレッドシートで開く」→「ファイル」→「Googleスプレッドシートとして保存」。INDIRECT関数でサマリーが連動します</t>
        </is>
      </c>
    </row>
    <row r="13" ht="46" customHeight="1">
      <c r="B13" s="2" t="inlineStr">
        <is>
          <t>既存2回分の入力状況</t>
        </is>
      </c>
      <c r="C13" s="3" t="inlineStr">
        <is>
          <t>20260525_ClassE・20260831_Beginner は、リポジトリ内の資料（LP・Meta広告ガイド）で確認できた計画値のみ入力済み。実績（参加者・売上・費用）は資料に無いため空欄。この2回以外の開催履歴は資料に無く、未作成</t>
        </is>
      </c>
    </row>
    <row r="15">
      <c r="B15" s="4" t="inlineStr">
        <is>
          <t>凡例</t>
        </is>
      </c>
    </row>
    <row r="16">
      <c r="B16" s="5" t="inlineStr">
        <is>
          <t>入力セル</t>
        </is>
      </c>
    </row>
    <row r="17">
      <c r="B17" s="6" t="inlineStr">
        <is>
          <t>自動計算セル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1425"/>
    <outlinePr summaryBelow="1" summaryRight="1"/>
    <pageSetUpPr fitToPage="1"/>
  </sheetPr>
  <dimension ref="A1:X4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5" customWidth="1" min="4" max="4"/>
    <col width="30" customWidth="1" min="5" max="5"/>
    <col width="16" customWidth="1" min="6" max="6"/>
    <col width="26" customWidth="1" min="7" max="7"/>
    <col width="7" customWidth="1" min="8" max="8"/>
    <col width="8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9" customWidth="1" min="15" max="15"/>
    <col width="8" customWidth="1" min="16" max="16"/>
    <col width="12" customWidth="1" min="17" max="17"/>
    <col width="12" customWidth="1" min="18" max="18"/>
    <col width="12" customWidth="1" min="19" max="19"/>
    <col width="8" customWidth="1" min="20" max="20"/>
    <col width="12" customWidth="1" min="21" max="21"/>
    <col width="11" customWidth="1" min="22" max="22"/>
    <col width="8" customWidth="1" min="23" max="23"/>
    <col width="9" customWidth="1" min="24" max="24"/>
  </cols>
  <sheetData>
    <row r="1">
      <c r="A1" s="1" t="inlineStr">
        <is>
          <t>ワイン会 開催サマリー</t>
        </is>
      </c>
    </row>
    <row r="2">
      <c r="A2" s="7" t="inlineStr">
        <is>
          <t>B列に各回のシート名を入れると、そのシートから自動で集計されます。新しい回は「テンプレート」シートをコピー → シート名を変更 → ここに1行追加。</t>
        </is>
      </c>
    </row>
    <row r="4">
      <c r="B4" s="8" t="inlineStr">
        <is>
          <t>開催回数（実施済）</t>
        </is>
      </c>
      <c r="C4" s="9" t="n"/>
      <c r="D4" s="9" t="n"/>
      <c r="E4" s="8" t="inlineStr">
        <is>
          <t>累計参加者（名）</t>
        </is>
      </c>
      <c r="F4" s="9" t="n"/>
      <c r="G4" s="9" t="n"/>
      <c r="H4" s="8" t="inlineStr">
        <is>
          <t>累計売上（円）</t>
        </is>
      </c>
      <c r="I4" s="9" t="n"/>
      <c r="J4" s="9" t="n"/>
      <c r="K4" s="8" t="inlineStr">
        <is>
          <t>累計粗利（円）</t>
        </is>
      </c>
      <c r="L4" s="9" t="n"/>
      <c r="M4" s="9" t="n"/>
      <c r="N4" s="8" t="inlineStr">
        <is>
          <t>平均参加者／回</t>
        </is>
      </c>
      <c r="O4" s="9" t="n"/>
      <c r="P4" s="9" t="n"/>
      <c r="Q4" s="8" t="inlineStr">
        <is>
          <t>平均満足度</t>
        </is>
      </c>
      <c r="R4" s="9" t="n"/>
      <c r="S4" s="9" t="n"/>
    </row>
    <row r="5" ht="34" customHeight="1">
      <c r="B5" s="10">
        <f>COUNTIF($X$8:$X$37,"実施済")</f>
        <v/>
      </c>
      <c r="C5" s="9" t="n"/>
      <c r="D5" s="9" t="n"/>
      <c r="E5" s="10">
        <f>SUM($K$8:$K$37)</f>
        <v/>
      </c>
      <c r="F5" s="9" t="n"/>
      <c r="G5" s="9" t="n"/>
      <c r="H5" s="10">
        <f>SUM($Q$8:$Q$37)</f>
        <v/>
      </c>
      <c r="I5" s="9" t="n"/>
      <c r="J5" s="9" t="n"/>
      <c r="K5" s="10">
        <f>SUM($S$8:$S$37)</f>
        <v/>
      </c>
      <c r="L5" s="9" t="n"/>
      <c r="M5" s="9" t="n"/>
      <c r="N5" s="11">
        <f>IFERROR(SUMIF($X$8:$X$37,"実施済",$K$8:$K$37)/COUNTIF($X$8:$X$37,"実施済"),0)</f>
        <v/>
      </c>
      <c r="O5" s="9" t="n"/>
      <c r="P5" s="9" t="n"/>
      <c r="Q5" s="11">
        <f>IFERROR(AVERAGEIF($W$8:$W$37,"&gt;0"),0)</f>
        <v/>
      </c>
      <c r="R5" s="9" t="n"/>
      <c r="S5" s="9" t="n"/>
    </row>
    <row r="7" ht="32" customHeight="1">
      <c r="A7" s="12" t="inlineStr">
        <is>
          <t>回No</t>
        </is>
      </c>
      <c r="B7" s="12" t="inlineStr">
        <is>
          <t>シート名（入力）</t>
        </is>
      </c>
      <c r="C7" s="12" t="inlineStr">
        <is>
          <t>開催日</t>
        </is>
      </c>
      <c r="D7" s="12" t="inlineStr">
        <is>
          <t>曜日</t>
        </is>
      </c>
      <c r="E7" s="12" t="inlineStr">
        <is>
          <t>イベント名</t>
        </is>
      </c>
      <c r="F7" s="12" t="inlineStr">
        <is>
          <t>種別</t>
        </is>
      </c>
      <c r="G7" s="12" t="inlineStr">
        <is>
          <t>会場</t>
        </is>
      </c>
      <c r="H7" s="12" t="inlineStr">
        <is>
          <t>定員</t>
        </is>
      </c>
      <c r="I7" s="12" t="inlineStr">
        <is>
          <t>申込数</t>
        </is>
      </c>
      <c r="J7" s="12" t="inlineStr">
        <is>
          <t>参加者 計画</t>
        </is>
      </c>
      <c r="K7" s="12" t="inlineStr">
        <is>
          <t>参加者 実績</t>
        </is>
      </c>
      <c r="L7" s="12" t="inlineStr">
        <is>
          <t>男性</t>
        </is>
      </c>
      <c r="M7" s="12" t="inlineStr">
        <is>
          <t>女性</t>
        </is>
      </c>
      <c r="N7" s="12" t="inlineStr">
        <is>
          <t>新規</t>
        </is>
      </c>
      <c r="O7" s="12" t="inlineStr">
        <is>
          <t>リピーター</t>
        </is>
      </c>
      <c r="P7" s="12" t="inlineStr">
        <is>
          <t>充足率</t>
        </is>
      </c>
      <c r="Q7" s="12" t="inlineStr">
        <is>
          <t>売上（円）</t>
        </is>
      </c>
      <c r="R7" s="12" t="inlineStr">
        <is>
          <t>費用（円）</t>
        </is>
      </c>
      <c r="S7" s="12" t="inlineStr">
        <is>
          <t>粗利（円）</t>
        </is>
      </c>
      <c r="T7" s="12" t="inlineStr">
        <is>
          <t>粗利率</t>
        </is>
      </c>
      <c r="U7" s="12" t="inlineStr">
        <is>
          <t>1名あたり粗利（円）</t>
        </is>
      </c>
      <c r="V7" s="12" t="inlineStr">
        <is>
          <t>広告費（円）</t>
        </is>
      </c>
      <c r="W7" s="12" t="inlineStr">
        <is>
          <t>満足度</t>
        </is>
      </c>
      <c r="X7" s="12" t="inlineStr">
        <is>
          <t>ステータス</t>
        </is>
      </c>
    </row>
    <row r="8">
      <c r="A8" s="6">
        <f>IF($B8="","",IFERROR(INDIRECT("'"&amp;$B8&amp;"'!C5")&amp;"",""))</f>
        <v/>
      </c>
      <c r="B8" s="5" t="inlineStr">
        <is>
          <t>20260525_ClassE</t>
        </is>
      </c>
      <c r="C8" s="13">
        <f>IF($B8="","",IFERROR(INDIRECT("'"&amp;$B8&amp;"'!C8"),""))</f>
        <v/>
      </c>
      <c r="D8" s="14">
        <f>IF(OR($B8="",C8=""),"",CHOOSE(WEEKDAY(C8),"日","月","火","水","木","金","土"))</f>
        <v/>
      </c>
      <c r="E8" s="6">
        <f>IF($B8="","",IFERROR(INDIRECT("'"&amp;$B8&amp;"'!C6")&amp;"",""))</f>
        <v/>
      </c>
      <c r="F8" s="6">
        <f>IF($B8="","",IFERROR(INDIRECT("'"&amp;$B8&amp;"'!C7")&amp;"",""))</f>
        <v/>
      </c>
      <c r="G8" s="6">
        <f>IF($B8="","",IFERROR(INDIRECT("'"&amp;$B8&amp;"'!C12")&amp;"",""))</f>
        <v/>
      </c>
      <c r="H8" s="15">
        <f>IF($B8="","",IFERROR(INDIRECT("'"&amp;$B8&amp;"'!C13"),""))</f>
        <v/>
      </c>
      <c r="I8" s="15">
        <f>IF($B8="","",IFERROR(INDIRECT("'"&amp;$B8&amp;"'!D22"),""))</f>
        <v/>
      </c>
      <c r="J8" s="15">
        <f>IF($B8="","",IFERROR(INDIRECT("'"&amp;$B8&amp;"'!C23"),""))</f>
        <v/>
      </c>
      <c r="K8" s="15">
        <f>IF($B8="","",IFERROR(INDIRECT("'"&amp;$B8&amp;"'!D23"),""))</f>
        <v/>
      </c>
      <c r="L8" s="15">
        <f>IF($B8="","",IFERROR(INDIRECT("'"&amp;$B8&amp;"'!D24"),""))</f>
        <v/>
      </c>
      <c r="M8" s="15">
        <f>IF($B8="","",IFERROR(INDIRECT("'"&amp;$B8&amp;"'!D25"),""))</f>
        <v/>
      </c>
      <c r="N8" s="15">
        <f>IF($B8="","",IFERROR(INDIRECT("'"&amp;$B8&amp;"'!D26"),""))</f>
        <v/>
      </c>
      <c r="O8" s="15">
        <f>IF($B8="","",IFERROR(INDIRECT("'"&amp;$B8&amp;"'!D27"),""))</f>
        <v/>
      </c>
      <c r="P8" s="16">
        <f>IF(OR($B8="",N(H8)=0),"",K8/H8)</f>
        <v/>
      </c>
      <c r="Q8" s="15">
        <f>IF($B8="","",IFERROR(INDIRECT("'"&amp;$B8&amp;"'!D55"),""))</f>
        <v/>
      </c>
      <c r="R8" s="15">
        <f>IF($B8="","",IFERROR(INDIRECT("'"&amp;$B8&amp;"'!D64"),""))</f>
        <v/>
      </c>
      <c r="S8" s="15">
        <f>IF($B8="","",IFERROR(INDIRECT("'"&amp;$B8&amp;"'!D65"),""))</f>
        <v/>
      </c>
      <c r="T8" s="16">
        <f>IF(OR($B8="",N(Q8)=0),"",S8/Q8)</f>
        <v/>
      </c>
      <c r="U8" s="15">
        <f>IF(OR($B8="",N(K8)=0),"",S8/K8)</f>
        <v/>
      </c>
      <c r="V8" s="15">
        <f>IF($B8="","",IFERROR(INDIRECT("'"&amp;$B8&amp;"'!D59"),""))</f>
        <v/>
      </c>
      <c r="W8" s="17">
        <f>IF($B8="","",IFERROR(INDIRECT("'"&amp;$B8&amp;"'!D32"),""))</f>
        <v/>
      </c>
      <c r="X8" s="6">
        <f>IF($B8="","",IFERROR(INDIRECT("'"&amp;$B8&amp;"'!C18")&amp;"",""))</f>
        <v/>
      </c>
    </row>
    <row r="9">
      <c r="A9" s="6">
        <f>IF($B9="","",IFERROR(INDIRECT("'"&amp;$B9&amp;"'!C5")&amp;"",""))</f>
        <v/>
      </c>
      <c r="B9" s="5" t="inlineStr">
        <is>
          <t>20260831_Beginner</t>
        </is>
      </c>
      <c r="C9" s="13">
        <f>IF($B9="","",IFERROR(INDIRECT("'"&amp;$B9&amp;"'!C8"),""))</f>
        <v/>
      </c>
      <c r="D9" s="14">
        <f>IF(OR($B9="",C9=""),"",CHOOSE(WEEKDAY(C9),"日","月","火","水","木","金","土"))</f>
        <v/>
      </c>
      <c r="E9" s="6">
        <f>IF($B9="","",IFERROR(INDIRECT("'"&amp;$B9&amp;"'!C6")&amp;"",""))</f>
        <v/>
      </c>
      <c r="F9" s="6">
        <f>IF($B9="","",IFERROR(INDIRECT("'"&amp;$B9&amp;"'!C7")&amp;"",""))</f>
        <v/>
      </c>
      <c r="G9" s="6">
        <f>IF($B9="","",IFERROR(INDIRECT("'"&amp;$B9&amp;"'!C12")&amp;"",""))</f>
        <v/>
      </c>
      <c r="H9" s="15">
        <f>IF($B9="","",IFERROR(INDIRECT("'"&amp;$B9&amp;"'!C13"),""))</f>
        <v/>
      </c>
      <c r="I9" s="15">
        <f>IF($B9="","",IFERROR(INDIRECT("'"&amp;$B9&amp;"'!D22"),""))</f>
        <v/>
      </c>
      <c r="J9" s="15">
        <f>IF($B9="","",IFERROR(INDIRECT("'"&amp;$B9&amp;"'!C23"),""))</f>
        <v/>
      </c>
      <c r="K9" s="15">
        <f>IF($B9="","",IFERROR(INDIRECT("'"&amp;$B9&amp;"'!D23"),""))</f>
        <v/>
      </c>
      <c r="L9" s="15">
        <f>IF($B9="","",IFERROR(INDIRECT("'"&amp;$B9&amp;"'!D24"),""))</f>
        <v/>
      </c>
      <c r="M9" s="15">
        <f>IF($B9="","",IFERROR(INDIRECT("'"&amp;$B9&amp;"'!D25"),""))</f>
        <v/>
      </c>
      <c r="N9" s="15">
        <f>IF($B9="","",IFERROR(INDIRECT("'"&amp;$B9&amp;"'!D26"),""))</f>
        <v/>
      </c>
      <c r="O9" s="15">
        <f>IF($B9="","",IFERROR(INDIRECT("'"&amp;$B9&amp;"'!D27"),""))</f>
        <v/>
      </c>
      <c r="P9" s="16">
        <f>IF(OR($B9="",N(H9)=0),"",K9/H9)</f>
        <v/>
      </c>
      <c r="Q9" s="15">
        <f>IF($B9="","",IFERROR(INDIRECT("'"&amp;$B9&amp;"'!D55"),""))</f>
        <v/>
      </c>
      <c r="R9" s="15">
        <f>IF($B9="","",IFERROR(INDIRECT("'"&amp;$B9&amp;"'!D64"),""))</f>
        <v/>
      </c>
      <c r="S9" s="15">
        <f>IF($B9="","",IFERROR(INDIRECT("'"&amp;$B9&amp;"'!D65"),""))</f>
        <v/>
      </c>
      <c r="T9" s="16">
        <f>IF(OR($B9="",N(Q9)=0),"",S9/Q9)</f>
        <v/>
      </c>
      <c r="U9" s="15">
        <f>IF(OR($B9="",N(K9)=0),"",S9/K9)</f>
        <v/>
      </c>
      <c r="V9" s="15">
        <f>IF($B9="","",IFERROR(INDIRECT("'"&amp;$B9&amp;"'!D59"),""))</f>
        <v/>
      </c>
      <c r="W9" s="17">
        <f>IF($B9="","",IFERROR(INDIRECT("'"&amp;$B9&amp;"'!D32"),""))</f>
        <v/>
      </c>
      <c r="X9" s="6">
        <f>IF($B9="","",IFERROR(INDIRECT("'"&amp;$B9&amp;"'!C18")&amp;"",""))</f>
        <v/>
      </c>
    </row>
    <row r="10">
      <c r="A10" s="6">
        <f>IF($B10="","",IFERROR(INDIRECT("'"&amp;$B10&amp;"'!C5")&amp;"",""))</f>
        <v/>
      </c>
      <c r="B10" s="5" t="n"/>
      <c r="C10" s="13">
        <f>IF($B10="","",IFERROR(INDIRECT("'"&amp;$B10&amp;"'!C8"),""))</f>
        <v/>
      </c>
      <c r="D10" s="14">
        <f>IF(OR($B10="",C10=""),"",CHOOSE(WEEKDAY(C10),"日","月","火","水","木","金","土"))</f>
        <v/>
      </c>
      <c r="E10" s="6">
        <f>IF($B10="","",IFERROR(INDIRECT("'"&amp;$B10&amp;"'!C6")&amp;"",""))</f>
        <v/>
      </c>
      <c r="F10" s="6">
        <f>IF($B10="","",IFERROR(INDIRECT("'"&amp;$B10&amp;"'!C7")&amp;"",""))</f>
        <v/>
      </c>
      <c r="G10" s="6">
        <f>IF($B10="","",IFERROR(INDIRECT("'"&amp;$B10&amp;"'!C12")&amp;"",""))</f>
        <v/>
      </c>
      <c r="H10" s="15">
        <f>IF($B10="","",IFERROR(INDIRECT("'"&amp;$B10&amp;"'!C13"),""))</f>
        <v/>
      </c>
      <c r="I10" s="15">
        <f>IF($B10="","",IFERROR(INDIRECT("'"&amp;$B10&amp;"'!D22"),""))</f>
        <v/>
      </c>
      <c r="J10" s="15">
        <f>IF($B10="","",IFERROR(INDIRECT("'"&amp;$B10&amp;"'!C23"),""))</f>
        <v/>
      </c>
      <c r="K10" s="15">
        <f>IF($B10="","",IFERROR(INDIRECT("'"&amp;$B10&amp;"'!D23"),""))</f>
        <v/>
      </c>
      <c r="L10" s="15">
        <f>IF($B10="","",IFERROR(INDIRECT("'"&amp;$B10&amp;"'!D24"),""))</f>
        <v/>
      </c>
      <c r="M10" s="15">
        <f>IF($B10="","",IFERROR(INDIRECT("'"&amp;$B10&amp;"'!D25"),""))</f>
        <v/>
      </c>
      <c r="N10" s="15">
        <f>IF($B10="","",IFERROR(INDIRECT("'"&amp;$B10&amp;"'!D26"),""))</f>
        <v/>
      </c>
      <c r="O10" s="15">
        <f>IF($B10="","",IFERROR(INDIRECT("'"&amp;$B10&amp;"'!D27"),""))</f>
        <v/>
      </c>
      <c r="P10" s="16">
        <f>IF(OR($B10="",N(H10)=0),"",K10/H10)</f>
        <v/>
      </c>
      <c r="Q10" s="15">
        <f>IF($B10="","",IFERROR(INDIRECT("'"&amp;$B10&amp;"'!D55"),""))</f>
        <v/>
      </c>
      <c r="R10" s="15">
        <f>IF($B10="","",IFERROR(INDIRECT("'"&amp;$B10&amp;"'!D64"),""))</f>
        <v/>
      </c>
      <c r="S10" s="15">
        <f>IF($B10="","",IFERROR(INDIRECT("'"&amp;$B10&amp;"'!D65"),""))</f>
        <v/>
      </c>
      <c r="T10" s="16">
        <f>IF(OR($B10="",N(Q10)=0),"",S10/Q10)</f>
        <v/>
      </c>
      <c r="U10" s="15">
        <f>IF(OR($B10="",N(K10)=0),"",S10/K10)</f>
        <v/>
      </c>
      <c r="V10" s="15">
        <f>IF($B10="","",IFERROR(INDIRECT("'"&amp;$B10&amp;"'!D59"),""))</f>
        <v/>
      </c>
      <c r="W10" s="17">
        <f>IF($B10="","",IFERROR(INDIRECT("'"&amp;$B10&amp;"'!D32"),""))</f>
        <v/>
      </c>
      <c r="X10" s="6">
        <f>IF($B10="","",IFERROR(INDIRECT("'"&amp;$B10&amp;"'!C18")&amp;"",""))</f>
        <v/>
      </c>
    </row>
    <row r="11">
      <c r="A11" s="6">
        <f>IF($B11="","",IFERROR(INDIRECT("'"&amp;$B11&amp;"'!C5")&amp;"",""))</f>
        <v/>
      </c>
      <c r="B11" s="5" t="n"/>
      <c r="C11" s="13">
        <f>IF($B11="","",IFERROR(INDIRECT("'"&amp;$B11&amp;"'!C8"),""))</f>
        <v/>
      </c>
      <c r="D11" s="14">
        <f>IF(OR($B11="",C11=""),"",CHOOSE(WEEKDAY(C11),"日","月","火","水","木","金","土"))</f>
        <v/>
      </c>
      <c r="E11" s="6">
        <f>IF($B11="","",IFERROR(INDIRECT("'"&amp;$B11&amp;"'!C6")&amp;"",""))</f>
        <v/>
      </c>
      <c r="F11" s="6">
        <f>IF($B11="","",IFERROR(INDIRECT("'"&amp;$B11&amp;"'!C7")&amp;"",""))</f>
        <v/>
      </c>
      <c r="G11" s="6">
        <f>IF($B11="","",IFERROR(INDIRECT("'"&amp;$B11&amp;"'!C12")&amp;"",""))</f>
        <v/>
      </c>
      <c r="H11" s="15">
        <f>IF($B11="","",IFERROR(INDIRECT("'"&amp;$B11&amp;"'!C13"),""))</f>
        <v/>
      </c>
      <c r="I11" s="15">
        <f>IF($B11="","",IFERROR(INDIRECT("'"&amp;$B11&amp;"'!D22"),""))</f>
        <v/>
      </c>
      <c r="J11" s="15">
        <f>IF($B11="","",IFERROR(INDIRECT("'"&amp;$B11&amp;"'!C23"),""))</f>
        <v/>
      </c>
      <c r="K11" s="15">
        <f>IF($B11="","",IFERROR(INDIRECT("'"&amp;$B11&amp;"'!D23"),""))</f>
        <v/>
      </c>
      <c r="L11" s="15">
        <f>IF($B11="","",IFERROR(INDIRECT("'"&amp;$B11&amp;"'!D24"),""))</f>
        <v/>
      </c>
      <c r="M11" s="15">
        <f>IF($B11="","",IFERROR(INDIRECT("'"&amp;$B11&amp;"'!D25"),""))</f>
        <v/>
      </c>
      <c r="N11" s="15">
        <f>IF($B11="","",IFERROR(INDIRECT("'"&amp;$B11&amp;"'!D26"),""))</f>
        <v/>
      </c>
      <c r="O11" s="15">
        <f>IF($B11="","",IFERROR(INDIRECT("'"&amp;$B11&amp;"'!D27"),""))</f>
        <v/>
      </c>
      <c r="P11" s="16">
        <f>IF(OR($B11="",N(H11)=0),"",K11/H11)</f>
        <v/>
      </c>
      <c r="Q11" s="15">
        <f>IF($B11="","",IFERROR(INDIRECT("'"&amp;$B11&amp;"'!D55"),""))</f>
        <v/>
      </c>
      <c r="R11" s="15">
        <f>IF($B11="","",IFERROR(INDIRECT("'"&amp;$B11&amp;"'!D64"),""))</f>
        <v/>
      </c>
      <c r="S11" s="15">
        <f>IF($B11="","",IFERROR(INDIRECT("'"&amp;$B11&amp;"'!D65"),""))</f>
        <v/>
      </c>
      <c r="T11" s="16">
        <f>IF(OR($B11="",N(Q11)=0),"",S11/Q11)</f>
        <v/>
      </c>
      <c r="U11" s="15">
        <f>IF(OR($B11="",N(K11)=0),"",S11/K11)</f>
        <v/>
      </c>
      <c r="V11" s="15">
        <f>IF($B11="","",IFERROR(INDIRECT("'"&amp;$B11&amp;"'!D59"),""))</f>
        <v/>
      </c>
      <c r="W11" s="17">
        <f>IF($B11="","",IFERROR(INDIRECT("'"&amp;$B11&amp;"'!D32"),""))</f>
        <v/>
      </c>
      <c r="X11" s="6">
        <f>IF($B11="","",IFERROR(INDIRECT("'"&amp;$B11&amp;"'!C18")&amp;"",""))</f>
        <v/>
      </c>
    </row>
    <row r="12">
      <c r="A12" s="6">
        <f>IF($B12="","",IFERROR(INDIRECT("'"&amp;$B12&amp;"'!C5")&amp;"",""))</f>
        <v/>
      </c>
      <c r="B12" s="5" t="n"/>
      <c r="C12" s="13">
        <f>IF($B12="","",IFERROR(INDIRECT("'"&amp;$B12&amp;"'!C8"),""))</f>
        <v/>
      </c>
      <c r="D12" s="14">
        <f>IF(OR($B12="",C12=""),"",CHOOSE(WEEKDAY(C12),"日","月","火","水","木","金","土"))</f>
        <v/>
      </c>
      <c r="E12" s="6">
        <f>IF($B12="","",IFERROR(INDIRECT("'"&amp;$B12&amp;"'!C6")&amp;"",""))</f>
        <v/>
      </c>
      <c r="F12" s="6">
        <f>IF($B12="","",IFERROR(INDIRECT("'"&amp;$B12&amp;"'!C7")&amp;"",""))</f>
        <v/>
      </c>
      <c r="G12" s="6">
        <f>IF($B12="","",IFERROR(INDIRECT("'"&amp;$B12&amp;"'!C12")&amp;"",""))</f>
        <v/>
      </c>
      <c r="H12" s="15">
        <f>IF($B12="","",IFERROR(INDIRECT("'"&amp;$B12&amp;"'!C13"),""))</f>
        <v/>
      </c>
      <c r="I12" s="15">
        <f>IF($B12="","",IFERROR(INDIRECT("'"&amp;$B12&amp;"'!D22"),""))</f>
        <v/>
      </c>
      <c r="J12" s="15">
        <f>IF($B12="","",IFERROR(INDIRECT("'"&amp;$B12&amp;"'!C23"),""))</f>
        <v/>
      </c>
      <c r="K12" s="15">
        <f>IF($B12="","",IFERROR(INDIRECT("'"&amp;$B12&amp;"'!D23"),""))</f>
        <v/>
      </c>
      <c r="L12" s="15">
        <f>IF($B12="","",IFERROR(INDIRECT("'"&amp;$B12&amp;"'!D24"),""))</f>
        <v/>
      </c>
      <c r="M12" s="15">
        <f>IF($B12="","",IFERROR(INDIRECT("'"&amp;$B12&amp;"'!D25"),""))</f>
        <v/>
      </c>
      <c r="N12" s="15">
        <f>IF($B12="","",IFERROR(INDIRECT("'"&amp;$B12&amp;"'!D26"),""))</f>
        <v/>
      </c>
      <c r="O12" s="15">
        <f>IF($B12="","",IFERROR(INDIRECT("'"&amp;$B12&amp;"'!D27"),""))</f>
        <v/>
      </c>
      <c r="P12" s="16">
        <f>IF(OR($B12="",N(H12)=0),"",K12/H12)</f>
        <v/>
      </c>
      <c r="Q12" s="15">
        <f>IF($B12="","",IFERROR(INDIRECT("'"&amp;$B12&amp;"'!D55"),""))</f>
        <v/>
      </c>
      <c r="R12" s="15">
        <f>IF($B12="","",IFERROR(INDIRECT("'"&amp;$B12&amp;"'!D64"),""))</f>
        <v/>
      </c>
      <c r="S12" s="15">
        <f>IF($B12="","",IFERROR(INDIRECT("'"&amp;$B12&amp;"'!D65"),""))</f>
        <v/>
      </c>
      <c r="T12" s="16">
        <f>IF(OR($B12="",N(Q12)=0),"",S12/Q12)</f>
        <v/>
      </c>
      <c r="U12" s="15">
        <f>IF(OR($B12="",N(K12)=0),"",S12/K12)</f>
        <v/>
      </c>
      <c r="V12" s="15">
        <f>IF($B12="","",IFERROR(INDIRECT("'"&amp;$B12&amp;"'!D59"),""))</f>
        <v/>
      </c>
      <c r="W12" s="17">
        <f>IF($B12="","",IFERROR(INDIRECT("'"&amp;$B12&amp;"'!D32"),""))</f>
        <v/>
      </c>
      <c r="X12" s="6">
        <f>IF($B12="","",IFERROR(INDIRECT("'"&amp;$B12&amp;"'!C18")&amp;"",""))</f>
        <v/>
      </c>
    </row>
    <row r="13">
      <c r="A13" s="6">
        <f>IF($B13="","",IFERROR(INDIRECT("'"&amp;$B13&amp;"'!C5")&amp;"",""))</f>
        <v/>
      </c>
      <c r="B13" s="5" t="n"/>
      <c r="C13" s="13">
        <f>IF($B13="","",IFERROR(INDIRECT("'"&amp;$B13&amp;"'!C8"),""))</f>
        <v/>
      </c>
      <c r="D13" s="14">
        <f>IF(OR($B13="",C13=""),"",CHOOSE(WEEKDAY(C13),"日","月","火","水","木","金","土"))</f>
        <v/>
      </c>
      <c r="E13" s="6">
        <f>IF($B13="","",IFERROR(INDIRECT("'"&amp;$B13&amp;"'!C6")&amp;"",""))</f>
        <v/>
      </c>
      <c r="F13" s="6">
        <f>IF($B13="","",IFERROR(INDIRECT("'"&amp;$B13&amp;"'!C7")&amp;"",""))</f>
        <v/>
      </c>
      <c r="G13" s="6">
        <f>IF($B13="","",IFERROR(INDIRECT("'"&amp;$B13&amp;"'!C12")&amp;"",""))</f>
        <v/>
      </c>
      <c r="H13" s="15">
        <f>IF($B13="","",IFERROR(INDIRECT("'"&amp;$B13&amp;"'!C13"),""))</f>
        <v/>
      </c>
      <c r="I13" s="15">
        <f>IF($B13="","",IFERROR(INDIRECT("'"&amp;$B13&amp;"'!D22"),""))</f>
        <v/>
      </c>
      <c r="J13" s="15">
        <f>IF($B13="","",IFERROR(INDIRECT("'"&amp;$B13&amp;"'!C23"),""))</f>
        <v/>
      </c>
      <c r="K13" s="15">
        <f>IF($B13="","",IFERROR(INDIRECT("'"&amp;$B13&amp;"'!D23"),""))</f>
        <v/>
      </c>
      <c r="L13" s="15">
        <f>IF($B13="","",IFERROR(INDIRECT("'"&amp;$B13&amp;"'!D24"),""))</f>
        <v/>
      </c>
      <c r="M13" s="15">
        <f>IF($B13="","",IFERROR(INDIRECT("'"&amp;$B13&amp;"'!D25"),""))</f>
        <v/>
      </c>
      <c r="N13" s="15">
        <f>IF($B13="","",IFERROR(INDIRECT("'"&amp;$B13&amp;"'!D26"),""))</f>
        <v/>
      </c>
      <c r="O13" s="15">
        <f>IF($B13="","",IFERROR(INDIRECT("'"&amp;$B13&amp;"'!D27"),""))</f>
        <v/>
      </c>
      <c r="P13" s="16">
        <f>IF(OR($B13="",N(H13)=0),"",K13/H13)</f>
        <v/>
      </c>
      <c r="Q13" s="15">
        <f>IF($B13="","",IFERROR(INDIRECT("'"&amp;$B13&amp;"'!D55"),""))</f>
        <v/>
      </c>
      <c r="R13" s="15">
        <f>IF($B13="","",IFERROR(INDIRECT("'"&amp;$B13&amp;"'!D64"),""))</f>
        <v/>
      </c>
      <c r="S13" s="15">
        <f>IF($B13="","",IFERROR(INDIRECT("'"&amp;$B13&amp;"'!D65"),""))</f>
        <v/>
      </c>
      <c r="T13" s="16">
        <f>IF(OR($B13="",N(Q13)=0),"",S13/Q13)</f>
        <v/>
      </c>
      <c r="U13" s="15">
        <f>IF(OR($B13="",N(K13)=0),"",S13/K13)</f>
        <v/>
      </c>
      <c r="V13" s="15">
        <f>IF($B13="","",IFERROR(INDIRECT("'"&amp;$B13&amp;"'!D59"),""))</f>
        <v/>
      </c>
      <c r="W13" s="17">
        <f>IF($B13="","",IFERROR(INDIRECT("'"&amp;$B13&amp;"'!D32"),""))</f>
        <v/>
      </c>
      <c r="X13" s="6">
        <f>IF($B13="","",IFERROR(INDIRECT("'"&amp;$B13&amp;"'!C18")&amp;"",""))</f>
        <v/>
      </c>
    </row>
    <row r="14">
      <c r="A14" s="6">
        <f>IF($B14="","",IFERROR(INDIRECT("'"&amp;$B14&amp;"'!C5")&amp;"",""))</f>
        <v/>
      </c>
      <c r="B14" s="5" t="n"/>
      <c r="C14" s="13">
        <f>IF($B14="","",IFERROR(INDIRECT("'"&amp;$B14&amp;"'!C8"),""))</f>
        <v/>
      </c>
      <c r="D14" s="14">
        <f>IF(OR($B14="",C14=""),"",CHOOSE(WEEKDAY(C14),"日","月","火","水","木","金","土"))</f>
        <v/>
      </c>
      <c r="E14" s="6">
        <f>IF($B14="","",IFERROR(INDIRECT("'"&amp;$B14&amp;"'!C6")&amp;"",""))</f>
        <v/>
      </c>
      <c r="F14" s="6">
        <f>IF($B14="","",IFERROR(INDIRECT("'"&amp;$B14&amp;"'!C7")&amp;"",""))</f>
        <v/>
      </c>
      <c r="G14" s="6">
        <f>IF($B14="","",IFERROR(INDIRECT("'"&amp;$B14&amp;"'!C12")&amp;"",""))</f>
        <v/>
      </c>
      <c r="H14" s="15">
        <f>IF($B14="","",IFERROR(INDIRECT("'"&amp;$B14&amp;"'!C13"),""))</f>
        <v/>
      </c>
      <c r="I14" s="15">
        <f>IF($B14="","",IFERROR(INDIRECT("'"&amp;$B14&amp;"'!D22"),""))</f>
        <v/>
      </c>
      <c r="J14" s="15">
        <f>IF($B14="","",IFERROR(INDIRECT("'"&amp;$B14&amp;"'!C23"),""))</f>
        <v/>
      </c>
      <c r="K14" s="15">
        <f>IF($B14="","",IFERROR(INDIRECT("'"&amp;$B14&amp;"'!D23"),""))</f>
        <v/>
      </c>
      <c r="L14" s="15">
        <f>IF($B14="","",IFERROR(INDIRECT("'"&amp;$B14&amp;"'!D24"),""))</f>
        <v/>
      </c>
      <c r="M14" s="15">
        <f>IF($B14="","",IFERROR(INDIRECT("'"&amp;$B14&amp;"'!D25"),""))</f>
        <v/>
      </c>
      <c r="N14" s="15">
        <f>IF($B14="","",IFERROR(INDIRECT("'"&amp;$B14&amp;"'!D26"),""))</f>
        <v/>
      </c>
      <c r="O14" s="15">
        <f>IF($B14="","",IFERROR(INDIRECT("'"&amp;$B14&amp;"'!D27"),""))</f>
        <v/>
      </c>
      <c r="P14" s="16">
        <f>IF(OR($B14="",N(H14)=0),"",K14/H14)</f>
        <v/>
      </c>
      <c r="Q14" s="15">
        <f>IF($B14="","",IFERROR(INDIRECT("'"&amp;$B14&amp;"'!D55"),""))</f>
        <v/>
      </c>
      <c r="R14" s="15">
        <f>IF($B14="","",IFERROR(INDIRECT("'"&amp;$B14&amp;"'!D64"),""))</f>
        <v/>
      </c>
      <c r="S14" s="15">
        <f>IF($B14="","",IFERROR(INDIRECT("'"&amp;$B14&amp;"'!D65"),""))</f>
        <v/>
      </c>
      <c r="T14" s="16">
        <f>IF(OR($B14="",N(Q14)=0),"",S14/Q14)</f>
        <v/>
      </c>
      <c r="U14" s="15">
        <f>IF(OR($B14="",N(K14)=0),"",S14/K14)</f>
        <v/>
      </c>
      <c r="V14" s="15">
        <f>IF($B14="","",IFERROR(INDIRECT("'"&amp;$B14&amp;"'!D59"),""))</f>
        <v/>
      </c>
      <c r="W14" s="17">
        <f>IF($B14="","",IFERROR(INDIRECT("'"&amp;$B14&amp;"'!D32"),""))</f>
        <v/>
      </c>
      <c r="X14" s="6">
        <f>IF($B14="","",IFERROR(INDIRECT("'"&amp;$B14&amp;"'!C18")&amp;"",""))</f>
        <v/>
      </c>
    </row>
    <row r="15">
      <c r="A15" s="6">
        <f>IF($B15="","",IFERROR(INDIRECT("'"&amp;$B15&amp;"'!C5")&amp;"",""))</f>
        <v/>
      </c>
      <c r="B15" s="5" t="n"/>
      <c r="C15" s="13">
        <f>IF($B15="","",IFERROR(INDIRECT("'"&amp;$B15&amp;"'!C8"),""))</f>
        <v/>
      </c>
      <c r="D15" s="14">
        <f>IF(OR($B15="",C15=""),"",CHOOSE(WEEKDAY(C15),"日","月","火","水","木","金","土"))</f>
        <v/>
      </c>
      <c r="E15" s="6">
        <f>IF($B15="","",IFERROR(INDIRECT("'"&amp;$B15&amp;"'!C6")&amp;"",""))</f>
        <v/>
      </c>
      <c r="F15" s="6">
        <f>IF($B15="","",IFERROR(INDIRECT("'"&amp;$B15&amp;"'!C7")&amp;"",""))</f>
        <v/>
      </c>
      <c r="G15" s="6">
        <f>IF($B15="","",IFERROR(INDIRECT("'"&amp;$B15&amp;"'!C12")&amp;"",""))</f>
        <v/>
      </c>
      <c r="H15" s="15">
        <f>IF($B15="","",IFERROR(INDIRECT("'"&amp;$B15&amp;"'!C13"),""))</f>
        <v/>
      </c>
      <c r="I15" s="15">
        <f>IF($B15="","",IFERROR(INDIRECT("'"&amp;$B15&amp;"'!D22"),""))</f>
        <v/>
      </c>
      <c r="J15" s="15">
        <f>IF($B15="","",IFERROR(INDIRECT("'"&amp;$B15&amp;"'!C23"),""))</f>
        <v/>
      </c>
      <c r="K15" s="15">
        <f>IF($B15="","",IFERROR(INDIRECT("'"&amp;$B15&amp;"'!D23"),""))</f>
        <v/>
      </c>
      <c r="L15" s="15">
        <f>IF($B15="","",IFERROR(INDIRECT("'"&amp;$B15&amp;"'!D24"),""))</f>
        <v/>
      </c>
      <c r="M15" s="15">
        <f>IF($B15="","",IFERROR(INDIRECT("'"&amp;$B15&amp;"'!D25"),""))</f>
        <v/>
      </c>
      <c r="N15" s="15">
        <f>IF($B15="","",IFERROR(INDIRECT("'"&amp;$B15&amp;"'!D26"),""))</f>
        <v/>
      </c>
      <c r="O15" s="15">
        <f>IF($B15="","",IFERROR(INDIRECT("'"&amp;$B15&amp;"'!D27"),""))</f>
        <v/>
      </c>
      <c r="P15" s="16">
        <f>IF(OR($B15="",N(H15)=0),"",K15/H15)</f>
        <v/>
      </c>
      <c r="Q15" s="15">
        <f>IF($B15="","",IFERROR(INDIRECT("'"&amp;$B15&amp;"'!D55"),""))</f>
        <v/>
      </c>
      <c r="R15" s="15">
        <f>IF($B15="","",IFERROR(INDIRECT("'"&amp;$B15&amp;"'!D64"),""))</f>
        <v/>
      </c>
      <c r="S15" s="15">
        <f>IF($B15="","",IFERROR(INDIRECT("'"&amp;$B15&amp;"'!D65"),""))</f>
        <v/>
      </c>
      <c r="T15" s="16">
        <f>IF(OR($B15="",N(Q15)=0),"",S15/Q15)</f>
        <v/>
      </c>
      <c r="U15" s="15">
        <f>IF(OR($B15="",N(K15)=0),"",S15/K15)</f>
        <v/>
      </c>
      <c r="V15" s="15">
        <f>IF($B15="","",IFERROR(INDIRECT("'"&amp;$B15&amp;"'!D59"),""))</f>
        <v/>
      </c>
      <c r="W15" s="17">
        <f>IF($B15="","",IFERROR(INDIRECT("'"&amp;$B15&amp;"'!D32"),""))</f>
        <v/>
      </c>
      <c r="X15" s="6">
        <f>IF($B15="","",IFERROR(INDIRECT("'"&amp;$B15&amp;"'!C18")&amp;"",""))</f>
        <v/>
      </c>
    </row>
    <row r="16">
      <c r="A16" s="6">
        <f>IF($B16="","",IFERROR(INDIRECT("'"&amp;$B16&amp;"'!C5")&amp;"",""))</f>
        <v/>
      </c>
      <c r="B16" s="5" t="n"/>
      <c r="C16" s="13">
        <f>IF($B16="","",IFERROR(INDIRECT("'"&amp;$B16&amp;"'!C8"),""))</f>
        <v/>
      </c>
      <c r="D16" s="14">
        <f>IF(OR($B16="",C16=""),"",CHOOSE(WEEKDAY(C16),"日","月","火","水","木","金","土"))</f>
        <v/>
      </c>
      <c r="E16" s="6">
        <f>IF($B16="","",IFERROR(INDIRECT("'"&amp;$B16&amp;"'!C6")&amp;"",""))</f>
        <v/>
      </c>
      <c r="F16" s="6">
        <f>IF($B16="","",IFERROR(INDIRECT("'"&amp;$B16&amp;"'!C7")&amp;"",""))</f>
        <v/>
      </c>
      <c r="G16" s="6">
        <f>IF($B16="","",IFERROR(INDIRECT("'"&amp;$B16&amp;"'!C12")&amp;"",""))</f>
        <v/>
      </c>
      <c r="H16" s="15">
        <f>IF($B16="","",IFERROR(INDIRECT("'"&amp;$B16&amp;"'!C13"),""))</f>
        <v/>
      </c>
      <c r="I16" s="15">
        <f>IF($B16="","",IFERROR(INDIRECT("'"&amp;$B16&amp;"'!D22"),""))</f>
        <v/>
      </c>
      <c r="J16" s="15">
        <f>IF($B16="","",IFERROR(INDIRECT("'"&amp;$B16&amp;"'!C23"),""))</f>
        <v/>
      </c>
      <c r="K16" s="15">
        <f>IF($B16="","",IFERROR(INDIRECT("'"&amp;$B16&amp;"'!D23"),""))</f>
        <v/>
      </c>
      <c r="L16" s="15">
        <f>IF($B16="","",IFERROR(INDIRECT("'"&amp;$B16&amp;"'!D24"),""))</f>
        <v/>
      </c>
      <c r="M16" s="15">
        <f>IF($B16="","",IFERROR(INDIRECT("'"&amp;$B16&amp;"'!D25"),""))</f>
        <v/>
      </c>
      <c r="N16" s="15">
        <f>IF($B16="","",IFERROR(INDIRECT("'"&amp;$B16&amp;"'!D26"),""))</f>
        <v/>
      </c>
      <c r="O16" s="15">
        <f>IF($B16="","",IFERROR(INDIRECT("'"&amp;$B16&amp;"'!D27"),""))</f>
        <v/>
      </c>
      <c r="P16" s="16">
        <f>IF(OR($B16="",N(H16)=0),"",K16/H16)</f>
        <v/>
      </c>
      <c r="Q16" s="15">
        <f>IF($B16="","",IFERROR(INDIRECT("'"&amp;$B16&amp;"'!D55"),""))</f>
        <v/>
      </c>
      <c r="R16" s="15">
        <f>IF($B16="","",IFERROR(INDIRECT("'"&amp;$B16&amp;"'!D64"),""))</f>
        <v/>
      </c>
      <c r="S16" s="15">
        <f>IF($B16="","",IFERROR(INDIRECT("'"&amp;$B16&amp;"'!D65"),""))</f>
        <v/>
      </c>
      <c r="T16" s="16">
        <f>IF(OR($B16="",N(Q16)=0),"",S16/Q16)</f>
        <v/>
      </c>
      <c r="U16" s="15">
        <f>IF(OR($B16="",N(K16)=0),"",S16/K16)</f>
        <v/>
      </c>
      <c r="V16" s="15">
        <f>IF($B16="","",IFERROR(INDIRECT("'"&amp;$B16&amp;"'!D59"),""))</f>
        <v/>
      </c>
      <c r="W16" s="17">
        <f>IF($B16="","",IFERROR(INDIRECT("'"&amp;$B16&amp;"'!D32"),""))</f>
        <v/>
      </c>
      <c r="X16" s="6">
        <f>IF($B16="","",IFERROR(INDIRECT("'"&amp;$B16&amp;"'!C18")&amp;"",""))</f>
        <v/>
      </c>
    </row>
    <row r="17">
      <c r="A17" s="6">
        <f>IF($B17="","",IFERROR(INDIRECT("'"&amp;$B17&amp;"'!C5")&amp;"",""))</f>
        <v/>
      </c>
      <c r="B17" s="5" t="n"/>
      <c r="C17" s="13">
        <f>IF($B17="","",IFERROR(INDIRECT("'"&amp;$B17&amp;"'!C8"),""))</f>
        <v/>
      </c>
      <c r="D17" s="14">
        <f>IF(OR($B17="",C17=""),"",CHOOSE(WEEKDAY(C17),"日","月","火","水","木","金","土"))</f>
        <v/>
      </c>
      <c r="E17" s="6">
        <f>IF($B17="","",IFERROR(INDIRECT("'"&amp;$B17&amp;"'!C6")&amp;"",""))</f>
        <v/>
      </c>
      <c r="F17" s="6">
        <f>IF($B17="","",IFERROR(INDIRECT("'"&amp;$B17&amp;"'!C7")&amp;"",""))</f>
        <v/>
      </c>
      <c r="G17" s="6">
        <f>IF($B17="","",IFERROR(INDIRECT("'"&amp;$B17&amp;"'!C12")&amp;"",""))</f>
        <v/>
      </c>
      <c r="H17" s="15">
        <f>IF($B17="","",IFERROR(INDIRECT("'"&amp;$B17&amp;"'!C13"),""))</f>
        <v/>
      </c>
      <c r="I17" s="15">
        <f>IF($B17="","",IFERROR(INDIRECT("'"&amp;$B17&amp;"'!D22"),""))</f>
        <v/>
      </c>
      <c r="J17" s="15">
        <f>IF($B17="","",IFERROR(INDIRECT("'"&amp;$B17&amp;"'!C23"),""))</f>
        <v/>
      </c>
      <c r="K17" s="15">
        <f>IF($B17="","",IFERROR(INDIRECT("'"&amp;$B17&amp;"'!D23"),""))</f>
        <v/>
      </c>
      <c r="L17" s="15">
        <f>IF($B17="","",IFERROR(INDIRECT("'"&amp;$B17&amp;"'!D24"),""))</f>
        <v/>
      </c>
      <c r="M17" s="15">
        <f>IF($B17="","",IFERROR(INDIRECT("'"&amp;$B17&amp;"'!D25"),""))</f>
        <v/>
      </c>
      <c r="N17" s="15">
        <f>IF($B17="","",IFERROR(INDIRECT("'"&amp;$B17&amp;"'!D26"),""))</f>
        <v/>
      </c>
      <c r="O17" s="15">
        <f>IF($B17="","",IFERROR(INDIRECT("'"&amp;$B17&amp;"'!D27"),""))</f>
        <v/>
      </c>
      <c r="P17" s="16">
        <f>IF(OR($B17="",N(H17)=0),"",K17/H17)</f>
        <v/>
      </c>
      <c r="Q17" s="15">
        <f>IF($B17="","",IFERROR(INDIRECT("'"&amp;$B17&amp;"'!D55"),""))</f>
        <v/>
      </c>
      <c r="R17" s="15">
        <f>IF($B17="","",IFERROR(INDIRECT("'"&amp;$B17&amp;"'!D64"),""))</f>
        <v/>
      </c>
      <c r="S17" s="15">
        <f>IF($B17="","",IFERROR(INDIRECT("'"&amp;$B17&amp;"'!D65"),""))</f>
        <v/>
      </c>
      <c r="T17" s="16">
        <f>IF(OR($B17="",N(Q17)=0),"",S17/Q17)</f>
        <v/>
      </c>
      <c r="U17" s="15">
        <f>IF(OR($B17="",N(K17)=0),"",S17/K17)</f>
        <v/>
      </c>
      <c r="V17" s="15">
        <f>IF($B17="","",IFERROR(INDIRECT("'"&amp;$B17&amp;"'!D59"),""))</f>
        <v/>
      </c>
      <c r="W17" s="17">
        <f>IF($B17="","",IFERROR(INDIRECT("'"&amp;$B17&amp;"'!D32"),""))</f>
        <v/>
      </c>
      <c r="X17" s="6">
        <f>IF($B17="","",IFERROR(INDIRECT("'"&amp;$B17&amp;"'!C18")&amp;"",""))</f>
        <v/>
      </c>
    </row>
    <row r="18">
      <c r="A18" s="6">
        <f>IF($B18="","",IFERROR(INDIRECT("'"&amp;$B18&amp;"'!C5")&amp;"",""))</f>
        <v/>
      </c>
      <c r="B18" s="5" t="n"/>
      <c r="C18" s="13">
        <f>IF($B18="","",IFERROR(INDIRECT("'"&amp;$B18&amp;"'!C8"),""))</f>
        <v/>
      </c>
      <c r="D18" s="14">
        <f>IF(OR($B18="",C18=""),"",CHOOSE(WEEKDAY(C18),"日","月","火","水","木","金","土"))</f>
        <v/>
      </c>
      <c r="E18" s="6">
        <f>IF($B18="","",IFERROR(INDIRECT("'"&amp;$B18&amp;"'!C6")&amp;"",""))</f>
        <v/>
      </c>
      <c r="F18" s="6">
        <f>IF($B18="","",IFERROR(INDIRECT("'"&amp;$B18&amp;"'!C7")&amp;"",""))</f>
        <v/>
      </c>
      <c r="G18" s="6">
        <f>IF($B18="","",IFERROR(INDIRECT("'"&amp;$B18&amp;"'!C12")&amp;"",""))</f>
        <v/>
      </c>
      <c r="H18" s="15">
        <f>IF($B18="","",IFERROR(INDIRECT("'"&amp;$B18&amp;"'!C13"),""))</f>
        <v/>
      </c>
      <c r="I18" s="15">
        <f>IF($B18="","",IFERROR(INDIRECT("'"&amp;$B18&amp;"'!D22"),""))</f>
        <v/>
      </c>
      <c r="J18" s="15">
        <f>IF($B18="","",IFERROR(INDIRECT("'"&amp;$B18&amp;"'!C23"),""))</f>
        <v/>
      </c>
      <c r="K18" s="15">
        <f>IF($B18="","",IFERROR(INDIRECT("'"&amp;$B18&amp;"'!D23"),""))</f>
        <v/>
      </c>
      <c r="L18" s="15">
        <f>IF($B18="","",IFERROR(INDIRECT("'"&amp;$B18&amp;"'!D24"),""))</f>
        <v/>
      </c>
      <c r="M18" s="15">
        <f>IF($B18="","",IFERROR(INDIRECT("'"&amp;$B18&amp;"'!D25"),""))</f>
        <v/>
      </c>
      <c r="N18" s="15">
        <f>IF($B18="","",IFERROR(INDIRECT("'"&amp;$B18&amp;"'!D26"),""))</f>
        <v/>
      </c>
      <c r="O18" s="15">
        <f>IF($B18="","",IFERROR(INDIRECT("'"&amp;$B18&amp;"'!D27"),""))</f>
        <v/>
      </c>
      <c r="P18" s="16">
        <f>IF(OR($B18="",N(H18)=0),"",K18/H18)</f>
        <v/>
      </c>
      <c r="Q18" s="15">
        <f>IF($B18="","",IFERROR(INDIRECT("'"&amp;$B18&amp;"'!D55"),""))</f>
        <v/>
      </c>
      <c r="R18" s="15">
        <f>IF($B18="","",IFERROR(INDIRECT("'"&amp;$B18&amp;"'!D64"),""))</f>
        <v/>
      </c>
      <c r="S18" s="15">
        <f>IF($B18="","",IFERROR(INDIRECT("'"&amp;$B18&amp;"'!D65"),""))</f>
        <v/>
      </c>
      <c r="T18" s="16">
        <f>IF(OR($B18="",N(Q18)=0),"",S18/Q18)</f>
        <v/>
      </c>
      <c r="U18" s="15">
        <f>IF(OR($B18="",N(K18)=0),"",S18/K18)</f>
        <v/>
      </c>
      <c r="V18" s="15">
        <f>IF($B18="","",IFERROR(INDIRECT("'"&amp;$B18&amp;"'!D59"),""))</f>
        <v/>
      </c>
      <c r="W18" s="17">
        <f>IF($B18="","",IFERROR(INDIRECT("'"&amp;$B18&amp;"'!D32"),""))</f>
        <v/>
      </c>
      <c r="X18" s="6">
        <f>IF($B18="","",IFERROR(INDIRECT("'"&amp;$B18&amp;"'!C18")&amp;"",""))</f>
        <v/>
      </c>
    </row>
    <row r="19">
      <c r="A19" s="6">
        <f>IF($B19="","",IFERROR(INDIRECT("'"&amp;$B19&amp;"'!C5")&amp;"",""))</f>
        <v/>
      </c>
      <c r="B19" s="5" t="n"/>
      <c r="C19" s="13">
        <f>IF($B19="","",IFERROR(INDIRECT("'"&amp;$B19&amp;"'!C8"),""))</f>
        <v/>
      </c>
      <c r="D19" s="14">
        <f>IF(OR($B19="",C19=""),"",CHOOSE(WEEKDAY(C19),"日","月","火","水","木","金","土"))</f>
        <v/>
      </c>
      <c r="E19" s="6">
        <f>IF($B19="","",IFERROR(INDIRECT("'"&amp;$B19&amp;"'!C6")&amp;"",""))</f>
        <v/>
      </c>
      <c r="F19" s="6">
        <f>IF($B19="","",IFERROR(INDIRECT("'"&amp;$B19&amp;"'!C7")&amp;"",""))</f>
        <v/>
      </c>
      <c r="G19" s="6">
        <f>IF($B19="","",IFERROR(INDIRECT("'"&amp;$B19&amp;"'!C12")&amp;"",""))</f>
        <v/>
      </c>
      <c r="H19" s="15">
        <f>IF($B19="","",IFERROR(INDIRECT("'"&amp;$B19&amp;"'!C13"),""))</f>
        <v/>
      </c>
      <c r="I19" s="15">
        <f>IF($B19="","",IFERROR(INDIRECT("'"&amp;$B19&amp;"'!D22"),""))</f>
        <v/>
      </c>
      <c r="J19" s="15">
        <f>IF($B19="","",IFERROR(INDIRECT("'"&amp;$B19&amp;"'!C23"),""))</f>
        <v/>
      </c>
      <c r="K19" s="15">
        <f>IF($B19="","",IFERROR(INDIRECT("'"&amp;$B19&amp;"'!D23"),""))</f>
        <v/>
      </c>
      <c r="L19" s="15">
        <f>IF($B19="","",IFERROR(INDIRECT("'"&amp;$B19&amp;"'!D24"),""))</f>
        <v/>
      </c>
      <c r="M19" s="15">
        <f>IF($B19="","",IFERROR(INDIRECT("'"&amp;$B19&amp;"'!D25"),""))</f>
        <v/>
      </c>
      <c r="N19" s="15">
        <f>IF($B19="","",IFERROR(INDIRECT("'"&amp;$B19&amp;"'!D26"),""))</f>
        <v/>
      </c>
      <c r="O19" s="15">
        <f>IF($B19="","",IFERROR(INDIRECT("'"&amp;$B19&amp;"'!D27"),""))</f>
        <v/>
      </c>
      <c r="P19" s="16">
        <f>IF(OR($B19="",N(H19)=0),"",K19/H19)</f>
        <v/>
      </c>
      <c r="Q19" s="15">
        <f>IF($B19="","",IFERROR(INDIRECT("'"&amp;$B19&amp;"'!D55"),""))</f>
        <v/>
      </c>
      <c r="R19" s="15">
        <f>IF($B19="","",IFERROR(INDIRECT("'"&amp;$B19&amp;"'!D64"),""))</f>
        <v/>
      </c>
      <c r="S19" s="15">
        <f>IF($B19="","",IFERROR(INDIRECT("'"&amp;$B19&amp;"'!D65"),""))</f>
        <v/>
      </c>
      <c r="T19" s="16">
        <f>IF(OR($B19="",N(Q19)=0),"",S19/Q19)</f>
        <v/>
      </c>
      <c r="U19" s="15">
        <f>IF(OR($B19="",N(K19)=0),"",S19/K19)</f>
        <v/>
      </c>
      <c r="V19" s="15">
        <f>IF($B19="","",IFERROR(INDIRECT("'"&amp;$B19&amp;"'!D59"),""))</f>
        <v/>
      </c>
      <c r="W19" s="17">
        <f>IF($B19="","",IFERROR(INDIRECT("'"&amp;$B19&amp;"'!D32"),""))</f>
        <v/>
      </c>
      <c r="X19" s="6">
        <f>IF($B19="","",IFERROR(INDIRECT("'"&amp;$B19&amp;"'!C18")&amp;"",""))</f>
        <v/>
      </c>
    </row>
    <row r="20">
      <c r="A20" s="6">
        <f>IF($B20="","",IFERROR(INDIRECT("'"&amp;$B20&amp;"'!C5")&amp;"",""))</f>
        <v/>
      </c>
      <c r="B20" s="5" t="n"/>
      <c r="C20" s="13">
        <f>IF($B20="","",IFERROR(INDIRECT("'"&amp;$B20&amp;"'!C8"),""))</f>
        <v/>
      </c>
      <c r="D20" s="14">
        <f>IF(OR($B20="",C20=""),"",CHOOSE(WEEKDAY(C20),"日","月","火","水","木","金","土"))</f>
        <v/>
      </c>
      <c r="E20" s="6">
        <f>IF($B20="","",IFERROR(INDIRECT("'"&amp;$B20&amp;"'!C6")&amp;"",""))</f>
        <v/>
      </c>
      <c r="F20" s="6">
        <f>IF($B20="","",IFERROR(INDIRECT("'"&amp;$B20&amp;"'!C7")&amp;"",""))</f>
        <v/>
      </c>
      <c r="G20" s="6">
        <f>IF($B20="","",IFERROR(INDIRECT("'"&amp;$B20&amp;"'!C12")&amp;"",""))</f>
        <v/>
      </c>
      <c r="H20" s="15">
        <f>IF($B20="","",IFERROR(INDIRECT("'"&amp;$B20&amp;"'!C13"),""))</f>
        <v/>
      </c>
      <c r="I20" s="15">
        <f>IF($B20="","",IFERROR(INDIRECT("'"&amp;$B20&amp;"'!D22"),""))</f>
        <v/>
      </c>
      <c r="J20" s="15">
        <f>IF($B20="","",IFERROR(INDIRECT("'"&amp;$B20&amp;"'!C23"),""))</f>
        <v/>
      </c>
      <c r="K20" s="15">
        <f>IF($B20="","",IFERROR(INDIRECT("'"&amp;$B20&amp;"'!D23"),""))</f>
        <v/>
      </c>
      <c r="L20" s="15">
        <f>IF($B20="","",IFERROR(INDIRECT("'"&amp;$B20&amp;"'!D24"),""))</f>
        <v/>
      </c>
      <c r="M20" s="15">
        <f>IF($B20="","",IFERROR(INDIRECT("'"&amp;$B20&amp;"'!D25"),""))</f>
        <v/>
      </c>
      <c r="N20" s="15">
        <f>IF($B20="","",IFERROR(INDIRECT("'"&amp;$B20&amp;"'!D26"),""))</f>
        <v/>
      </c>
      <c r="O20" s="15">
        <f>IF($B20="","",IFERROR(INDIRECT("'"&amp;$B20&amp;"'!D27"),""))</f>
        <v/>
      </c>
      <c r="P20" s="16">
        <f>IF(OR($B20="",N(H20)=0),"",K20/H20)</f>
        <v/>
      </c>
      <c r="Q20" s="15">
        <f>IF($B20="","",IFERROR(INDIRECT("'"&amp;$B20&amp;"'!D55"),""))</f>
        <v/>
      </c>
      <c r="R20" s="15">
        <f>IF($B20="","",IFERROR(INDIRECT("'"&amp;$B20&amp;"'!D64"),""))</f>
        <v/>
      </c>
      <c r="S20" s="15">
        <f>IF($B20="","",IFERROR(INDIRECT("'"&amp;$B20&amp;"'!D65"),""))</f>
        <v/>
      </c>
      <c r="T20" s="16">
        <f>IF(OR($B20="",N(Q20)=0),"",S20/Q20)</f>
        <v/>
      </c>
      <c r="U20" s="15">
        <f>IF(OR($B20="",N(K20)=0),"",S20/K20)</f>
        <v/>
      </c>
      <c r="V20" s="15">
        <f>IF($B20="","",IFERROR(INDIRECT("'"&amp;$B20&amp;"'!D59"),""))</f>
        <v/>
      </c>
      <c r="W20" s="17">
        <f>IF($B20="","",IFERROR(INDIRECT("'"&amp;$B20&amp;"'!D32"),""))</f>
        <v/>
      </c>
      <c r="X20" s="6">
        <f>IF($B20="","",IFERROR(INDIRECT("'"&amp;$B20&amp;"'!C18")&amp;"",""))</f>
        <v/>
      </c>
    </row>
    <row r="21">
      <c r="A21" s="6">
        <f>IF($B21="","",IFERROR(INDIRECT("'"&amp;$B21&amp;"'!C5")&amp;"",""))</f>
        <v/>
      </c>
      <c r="B21" s="5" t="n"/>
      <c r="C21" s="13">
        <f>IF($B21="","",IFERROR(INDIRECT("'"&amp;$B21&amp;"'!C8"),""))</f>
        <v/>
      </c>
      <c r="D21" s="14">
        <f>IF(OR($B21="",C21=""),"",CHOOSE(WEEKDAY(C21),"日","月","火","水","木","金","土"))</f>
        <v/>
      </c>
      <c r="E21" s="6">
        <f>IF($B21="","",IFERROR(INDIRECT("'"&amp;$B21&amp;"'!C6")&amp;"",""))</f>
        <v/>
      </c>
      <c r="F21" s="6">
        <f>IF($B21="","",IFERROR(INDIRECT("'"&amp;$B21&amp;"'!C7")&amp;"",""))</f>
        <v/>
      </c>
      <c r="G21" s="6">
        <f>IF($B21="","",IFERROR(INDIRECT("'"&amp;$B21&amp;"'!C12")&amp;"",""))</f>
        <v/>
      </c>
      <c r="H21" s="15">
        <f>IF($B21="","",IFERROR(INDIRECT("'"&amp;$B21&amp;"'!C13"),""))</f>
        <v/>
      </c>
      <c r="I21" s="15">
        <f>IF($B21="","",IFERROR(INDIRECT("'"&amp;$B21&amp;"'!D22"),""))</f>
        <v/>
      </c>
      <c r="J21" s="15">
        <f>IF($B21="","",IFERROR(INDIRECT("'"&amp;$B21&amp;"'!C23"),""))</f>
        <v/>
      </c>
      <c r="K21" s="15">
        <f>IF($B21="","",IFERROR(INDIRECT("'"&amp;$B21&amp;"'!D23"),""))</f>
        <v/>
      </c>
      <c r="L21" s="15">
        <f>IF($B21="","",IFERROR(INDIRECT("'"&amp;$B21&amp;"'!D24"),""))</f>
        <v/>
      </c>
      <c r="M21" s="15">
        <f>IF($B21="","",IFERROR(INDIRECT("'"&amp;$B21&amp;"'!D25"),""))</f>
        <v/>
      </c>
      <c r="N21" s="15">
        <f>IF($B21="","",IFERROR(INDIRECT("'"&amp;$B21&amp;"'!D26"),""))</f>
        <v/>
      </c>
      <c r="O21" s="15">
        <f>IF($B21="","",IFERROR(INDIRECT("'"&amp;$B21&amp;"'!D27"),""))</f>
        <v/>
      </c>
      <c r="P21" s="16">
        <f>IF(OR($B21="",N(H21)=0),"",K21/H21)</f>
        <v/>
      </c>
      <c r="Q21" s="15">
        <f>IF($B21="","",IFERROR(INDIRECT("'"&amp;$B21&amp;"'!D55"),""))</f>
        <v/>
      </c>
      <c r="R21" s="15">
        <f>IF($B21="","",IFERROR(INDIRECT("'"&amp;$B21&amp;"'!D64"),""))</f>
        <v/>
      </c>
      <c r="S21" s="15">
        <f>IF($B21="","",IFERROR(INDIRECT("'"&amp;$B21&amp;"'!D65"),""))</f>
        <v/>
      </c>
      <c r="T21" s="16">
        <f>IF(OR($B21="",N(Q21)=0),"",S21/Q21)</f>
        <v/>
      </c>
      <c r="U21" s="15">
        <f>IF(OR($B21="",N(K21)=0),"",S21/K21)</f>
        <v/>
      </c>
      <c r="V21" s="15">
        <f>IF($B21="","",IFERROR(INDIRECT("'"&amp;$B21&amp;"'!D59"),""))</f>
        <v/>
      </c>
      <c r="W21" s="17">
        <f>IF($B21="","",IFERROR(INDIRECT("'"&amp;$B21&amp;"'!D32"),""))</f>
        <v/>
      </c>
      <c r="X21" s="6">
        <f>IF($B21="","",IFERROR(INDIRECT("'"&amp;$B21&amp;"'!C18")&amp;"",""))</f>
        <v/>
      </c>
    </row>
    <row r="22">
      <c r="A22" s="6">
        <f>IF($B22="","",IFERROR(INDIRECT("'"&amp;$B22&amp;"'!C5")&amp;"",""))</f>
        <v/>
      </c>
      <c r="B22" s="5" t="n"/>
      <c r="C22" s="13">
        <f>IF($B22="","",IFERROR(INDIRECT("'"&amp;$B22&amp;"'!C8"),""))</f>
        <v/>
      </c>
      <c r="D22" s="14">
        <f>IF(OR($B22="",C22=""),"",CHOOSE(WEEKDAY(C22),"日","月","火","水","木","金","土"))</f>
        <v/>
      </c>
      <c r="E22" s="6">
        <f>IF($B22="","",IFERROR(INDIRECT("'"&amp;$B22&amp;"'!C6")&amp;"",""))</f>
        <v/>
      </c>
      <c r="F22" s="6">
        <f>IF($B22="","",IFERROR(INDIRECT("'"&amp;$B22&amp;"'!C7")&amp;"",""))</f>
        <v/>
      </c>
      <c r="G22" s="6">
        <f>IF($B22="","",IFERROR(INDIRECT("'"&amp;$B22&amp;"'!C12")&amp;"",""))</f>
        <v/>
      </c>
      <c r="H22" s="15">
        <f>IF($B22="","",IFERROR(INDIRECT("'"&amp;$B22&amp;"'!C13"),""))</f>
        <v/>
      </c>
      <c r="I22" s="15">
        <f>IF($B22="","",IFERROR(INDIRECT("'"&amp;$B22&amp;"'!D22"),""))</f>
        <v/>
      </c>
      <c r="J22" s="15">
        <f>IF($B22="","",IFERROR(INDIRECT("'"&amp;$B22&amp;"'!C23"),""))</f>
        <v/>
      </c>
      <c r="K22" s="15">
        <f>IF($B22="","",IFERROR(INDIRECT("'"&amp;$B22&amp;"'!D23"),""))</f>
        <v/>
      </c>
      <c r="L22" s="15">
        <f>IF($B22="","",IFERROR(INDIRECT("'"&amp;$B22&amp;"'!D24"),""))</f>
        <v/>
      </c>
      <c r="M22" s="15">
        <f>IF($B22="","",IFERROR(INDIRECT("'"&amp;$B22&amp;"'!D25"),""))</f>
        <v/>
      </c>
      <c r="N22" s="15">
        <f>IF($B22="","",IFERROR(INDIRECT("'"&amp;$B22&amp;"'!D26"),""))</f>
        <v/>
      </c>
      <c r="O22" s="15">
        <f>IF($B22="","",IFERROR(INDIRECT("'"&amp;$B22&amp;"'!D27"),""))</f>
        <v/>
      </c>
      <c r="P22" s="16">
        <f>IF(OR($B22="",N(H22)=0),"",K22/H22)</f>
        <v/>
      </c>
      <c r="Q22" s="15">
        <f>IF($B22="","",IFERROR(INDIRECT("'"&amp;$B22&amp;"'!D55"),""))</f>
        <v/>
      </c>
      <c r="R22" s="15">
        <f>IF($B22="","",IFERROR(INDIRECT("'"&amp;$B22&amp;"'!D64"),""))</f>
        <v/>
      </c>
      <c r="S22" s="15">
        <f>IF($B22="","",IFERROR(INDIRECT("'"&amp;$B22&amp;"'!D65"),""))</f>
        <v/>
      </c>
      <c r="T22" s="16">
        <f>IF(OR($B22="",N(Q22)=0),"",S22/Q22)</f>
        <v/>
      </c>
      <c r="U22" s="15">
        <f>IF(OR($B22="",N(K22)=0),"",S22/K22)</f>
        <v/>
      </c>
      <c r="V22" s="15">
        <f>IF($B22="","",IFERROR(INDIRECT("'"&amp;$B22&amp;"'!D59"),""))</f>
        <v/>
      </c>
      <c r="W22" s="17">
        <f>IF($B22="","",IFERROR(INDIRECT("'"&amp;$B22&amp;"'!D32"),""))</f>
        <v/>
      </c>
      <c r="X22" s="6">
        <f>IF($B22="","",IFERROR(INDIRECT("'"&amp;$B22&amp;"'!C18")&amp;"",""))</f>
        <v/>
      </c>
    </row>
    <row r="23">
      <c r="A23" s="6">
        <f>IF($B23="","",IFERROR(INDIRECT("'"&amp;$B23&amp;"'!C5")&amp;"",""))</f>
        <v/>
      </c>
      <c r="B23" s="5" t="n"/>
      <c r="C23" s="13">
        <f>IF($B23="","",IFERROR(INDIRECT("'"&amp;$B23&amp;"'!C8"),""))</f>
        <v/>
      </c>
      <c r="D23" s="14">
        <f>IF(OR($B23="",C23=""),"",CHOOSE(WEEKDAY(C23),"日","月","火","水","木","金","土"))</f>
        <v/>
      </c>
      <c r="E23" s="6">
        <f>IF($B23="","",IFERROR(INDIRECT("'"&amp;$B23&amp;"'!C6")&amp;"",""))</f>
        <v/>
      </c>
      <c r="F23" s="6">
        <f>IF($B23="","",IFERROR(INDIRECT("'"&amp;$B23&amp;"'!C7")&amp;"",""))</f>
        <v/>
      </c>
      <c r="G23" s="6">
        <f>IF($B23="","",IFERROR(INDIRECT("'"&amp;$B23&amp;"'!C12")&amp;"",""))</f>
        <v/>
      </c>
      <c r="H23" s="15">
        <f>IF($B23="","",IFERROR(INDIRECT("'"&amp;$B23&amp;"'!C13"),""))</f>
        <v/>
      </c>
      <c r="I23" s="15">
        <f>IF($B23="","",IFERROR(INDIRECT("'"&amp;$B23&amp;"'!D22"),""))</f>
        <v/>
      </c>
      <c r="J23" s="15">
        <f>IF($B23="","",IFERROR(INDIRECT("'"&amp;$B23&amp;"'!C23"),""))</f>
        <v/>
      </c>
      <c r="K23" s="15">
        <f>IF($B23="","",IFERROR(INDIRECT("'"&amp;$B23&amp;"'!D23"),""))</f>
        <v/>
      </c>
      <c r="L23" s="15">
        <f>IF($B23="","",IFERROR(INDIRECT("'"&amp;$B23&amp;"'!D24"),""))</f>
        <v/>
      </c>
      <c r="M23" s="15">
        <f>IF($B23="","",IFERROR(INDIRECT("'"&amp;$B23&amp;"'!D25"),""))</f>
        <v/>
      </c>
      <c r="N23" s="15">
        <f>IF($B23="","",IFERROR(INDIRECT("'"&amp;$B23&amp;"'!D26"),""))</f>
        <v/>
      </c>
      <c r="O23" s="15">
        <f>IF($B23="","",IFERROR(INDIRECT("'"&amp;$B23&amp;"'!D27"),""))</f>
        <v/>
      </c>
      <c r="P23" s="16">
        <f>IF(OR($B23="",N(H23)=0),"",K23/H23)</f>
        <v/>
      </c>
      <c r="Q23" s="15">
        <f>IF($B23="","",IFERROR(INDIRECT("'"&amp;$B23&amp;"'!D55"),""))</f>
        <v/>
      </c>
      <c r="R23" s="15">
        <f>IF($B23="","",IFERROR(INDIRECT("'"&amp;$B23&amp;"'!D64"),""))</f>
        <v/>
      </c>
      <c r="S23" s="15">
        <f>IF($B23="","",IFERROR(INDIRECT("'"&amp;$B23&amp;"'!D65"),""))</f>
        <v/>
      </c>
      <c r="T23" s="16">
        <f>IF(OR($B23="",N(Q23)=0),"",S23/Q23)</f>
        <v/>
      </c>
      <c r="U23" s="15">
        <f>IF(OR($B23="",N(K23)=0),"",S23/K23)</f>
        <v/>
      </c>
      <c r="V23" s="15">
        <f>IF($B23="","",IFERROR(INDIRECT("'"&amp;$B23&amp;"'!D59"),""))</f>
        <v/>
      </c>
      <c r="W23" s="17">
        <f>IF($B23="","",IFERROR(INDIRECT("'"&amp;$B23&amp;"'!D32"),""))</f>
        <v/>
      </c>
      <c r="X23" s="6">
        <f>IF($B23="","",IFERROR(INDIRECT("'"&amp;$B23&amp;"'!C18")&amp;"",""))</f>
        <v/>
      </c>
    </row>
    <row r="24">
      <c r="A24" s="6">
        <f>IF($B24="","",IFERROR(INDIRECT("'"&amp;$B24&amp;"'!C5")&amp;"",""))</f>
        <v/>
      </c>
      <c r="B24" s="5" t="n"/>
      <c r="C24" s="13">
        <f>IF($B24="","",IFERROR(INDIRECT("'"&amp;$B24&amp;"'!C8"),""))</f>
        <v/>
      </c>
      <c r="D24" s="14">
        <f>IF(OR($B24="",C24=""),"",CHOOSE(WEEKDAY(C24),"日","月","火","水","木","金","土"))</f>
        <v/>
      </c>
      <c r="E24" s="6">
        <f>IF($B24="","",IFERROR(INDIRECT("'"&amp;$B24&amp;"'!C6")&amp;"",""))</f>
        <v/>
      </c>
      <c r="F24" s="6">
        <f>IF($B24="","",IFERROR(INDIRECT("'"&amp;$B24&amp;"'!C7")&amp;"",""))</f>
        <v/>
      </c>
      <c r="G24" s="6">
        <f>IF($B24="","",IFERROR(INDIRECT("'"&amp;$B24&amp;"'!C12")&amp;"",""))</f>
        <v/>
      </c>
      <c r="H24" s="15">
        <f>IF($B24="","",IFERROR(INDIRECT("'"&amp;$B24&amp;"'!C13"),""))</f>
        <v/>
      </c>
      <c r="I24" s="15">
        <f>IF($B24="","",IFERROR(INDIRECT("'"&amp;$B24&amp;"'!D22"),""))</f>
        <v/>
      </c>
      <c r="J24" s="15">
        <f>IF($B24="","",IFERROR(INDIRECT("'"&amp;$B24&amp;"'!C23"),""))</f>
        <v/>
      </c>
      <c r="K24" s="15">
        <f>IF($B24="","",IFERROR(INDIRECT("'"&amp;$B24&amp;"'!D23"),""))</f>
        <v/>
      </c>
      <c r="L24" s="15">
        <f>IF($B24="","",IFERROR(INDIRECT("'"&amp;$B24&amp;"'!D24"),""))</f>
        <v/>
      </c>
      <c r="M24" s="15">
        <f>IF($B24="","",IFERROR(INDIRECT("'"&amp;$B24&amp;"'!D25"),""))</f>
        <v/>
      </c>
      <c r="N24" s="15">
        <f>IF($B24="","",IFERROR(INDIRECT("'"&amp;$B24&amp;"'!D26"),""))</f>
        <v/>
      </c>
      <c r="O24" s="15">
        <f>IF($B24="","",IFERROR(INDIRECT("'"&amp;$B24&amp;"'!D27"),""))</f>
        <v/>
      </c>
      <c r="P24" s="16">
        <f>IF(OR($B24="",N(H24)=0),"",K24/H24)</f>
        <v/>
      </c>
      <c r="Q24" s="15">
        <f>IF($B24="","",IFERROR(INDIRECT("'"&amp;$B24&amp;"'!D55"),""))</f>
        <v/>
      </c>
      <c r="R24" s="15">
        <f>IF($B24="","",IFERROR(INDIRECT("'"&amp;$B24&amp;"'!D64"),""))</f>
        <v/>
      </c>
      <c r="S24" s="15">
        <f>IF($B24="","",IFERROR(INDIRECT("'"&amp;$B24&amp;"'!D65"),""))</f>
        <v/>
      </c>
      <c r="T24" s="16">
        <f>IF(OR($B24="",N(Q24)=0),"",S24/Q24)</f>
        <v/>
      </c>
      <c r="U24" s="15">
        <f>IF(OR($B24="",N(K24)=0),"",S24/K24)</f>
        <v/>
      </c>
      <c r="V24" s="15">
        <f>IF($B24="","",IFERROR(INDIRECT("'"&amp;$B24&amp;"'!D59"),""))</f>
        <v/>
      </c>
      <c r="W24" s="17">
        <f>IF($B24="","",IFERROR(INDIRECT("'"&amp;$B24&amp;"'!D32"),""))</f>
        <v/>
      </c>
      <c r="X24" s="6">
        <f>IF($B24="","",IFERROR(INDIRECT("'"&amp;$B24&amp;"'!C18")&amp;"",""))</f>
        <v/>
      </c>
    </row>
    <row r="25">
      <c r="A25" s="6">
        <f>IF($B25="","",IFERROR(INDIRECT("'"&amp;$B25&amp;"'!C5")&amp;"",""))</f>
        <v/>
      </c>
      <c r="B25" s="5" t="n"/>
      <c r="C25" s="13">
        <f>IF($B25="","",IFERROR(INDIRECT("'"&amp;$B25&amp;"'!C8"),""))</f>
        <v/>
      </c>
      <c r="D25" s="14">
        <f>IF(OR($B25="",C25=""),"",CHOOSE(WEEKDAY(C25),"日","月","火","水","木","金","土"))</f>
        <v/>
      </c>
      <c r="E25" s="6">
        <f>IF($B25="","",IFERROR(INDIRECT("'"&amp;$B25&amp;"'!C6")&amp;"",""))</f>
        <v/>
      </c>
      <c r="F25" s="6">
        <f>IF($B25="","",IFERROR(INDIRECT("'"&amp;$B25&amp;"'!C7")&amp;"",""))</f>
        <v/>
      </c>
      <c r="G25" s="6">
        <f>IF($B25="","",IFERROR(INDIRECT("'"&amp;$B25&amp;"'!C12")&amp;"",""))</f>
        <v/>
      </c>
      <c r="H25" s="15">
        <f>IF($B25="","",IFERROR(INDIRECT("'"&amp;$B25&amp;"'!C13"),""))</f>
        <v/>
      </c>
      <c r="I25" s="15">
        <f>IF($B25="","",IFERROR(INDIRECT("'"&amp;$B25&amp;"'!D22"),""))</f>
        <v/>
      </c>
      <c r="J25" s="15">
        <f>IF($B25="","",IFERROR(INDIRECT("'"&amp;$B25&amp;"'!C23"),""))</f>
        <v/>
      </c>
      <c r="K25" s="15">
        <f>IF($B25="","",IFERROR(INDIRECT("'"&amp;$B25&amp;"'!D23"),""))</f>
        <v/>
      </c>
      <c r="L25" s="15">
        <f>IF($B25="","",IFERROR(INDIRECT("'"&amp;$B25&amp;"'!D24"),""))</f>
        <v/>
      </c>
      <c r="M25" s="15">
        <f>IF($B25="","",IFERROR(INDIRECT("'"&amp;$B25&amp;"'!D25"),""))</f>
        <v/>
      </c>
      <c r="N25" s="15">
        <f>IF($B25="","",IFERROR(INDIRECT("'"&amp;$B25&amp;"'!D26"),""))</f>
        <v/>
      </c>
      <c r="O25" s="15">
        <f>IF($B25="","",IFERROR(INDIRECT("'"&amp;$B25&amp;"'!D27"),""))</f>
        <v/>
      </c>
      <c r="P25" s="16">
        <f>IF(OR($B25="",N(H25)=0),"",K25/H25)</f>
        <v/>
      </c>
      <c r="Q25" s="15">
        <f>IF($B25="","",IFERROR(INDIRECT("'"&amp;$B25&amp;"'!D55"),""))</f>
        <v/>
      </c>
      <c r="R25" s="15">
        <f>IF($B25="","",IFERROR(INDIRECT("'"&amp;$B25&amp;"'!D64"),""))</f>
        <v/>
      </c>
      <c r="S25" s="15">
        <f>IF($B25="","",IFERROR(INDIRECT("'"&amp;$B25&amp;"'!D65"),""))</f>
        <v/>
      </c>
      <c r="T25" s="16">
        <f>IF(OR($B25="",N(Q25)=0),"",S25/Q25)</f>
        <v/>
      </c>
      <c r="U25" s="15">
        <f>IF(OR($B25="",N(K25)=0),"",S25/K25)</f>
        <v/>
      </c>
      <c r="V25" s="15">
        <f>IF($B25="","",IFERROR(INDIRECT("'"&amp;$B25&amp;"'!D59"),""))</f>
        <v/>
      </c>
      <c r="W25" s="17">
        <f>IF($B25="","",IFERROR(INDIRECT("'"&amp;$B25&amp;"'!D32"),""))</f>
        <v/>
      </c>
      <c r="X25" s="6">
        <f>IF($B25="","",IFERROR(INDIRECT("'"&amp;$B25&amp;"'!C18")&amp;"",""))</f>
        <v/>
      </c>
    </row>
    <row r="26">
      <c r="A26" s="6">
        <f>IF($B26="","",IFERROR(INDIRECT("'"&amp;$B26&amp;"'!C5")&amp;"",""))</f>
        <v/>
      </c>
      <c r="B26" s="5" t="n"/>
      <c r="C26" s="13">
        <f>IF($B26="","",IFERROR(INDIRECT("'"&amp;$B26&amp;"'!C8"),""))</f>
        <v/>
      </c>
      <c r="D26" s="14">
        <f>IF(OR($B26="",C26=""),"",CHOOSE(WEEKDAY(C26),"日","月","火","水","木","金","土"))</f>
        <v/>
      </c>
      <c r="E26" s="6">
        <f>IF($B26="","",IFERROR(INDIRECT("'"&amp;$B26&amp;"'!C6")&amp;"",""))</f>
        <v/>
      </c>
      <c r="F26" s="6">
        <f>IF($B26="","",IFERROR(INDIRECT("'"&amp;$B26&amp;"'!C7")&amp;"",""))</f>
        <v/>
      </c>
      <c r="G26" s="6">
        <f>IF($B26="","",IFERROR(INDIRECT("'"&amp;$B26&amp;"'!C12")&amp;"",""))</f>
        <v/>
      </c>
      <c r="H26" s="15">
        <f>IF($B26="","",IFERROR(INDIRECT("'"&amp;$B26&amp;"'!C13"),""))</f>
        <v/>
      </c>
      <c r="I26" s="15">
        <f>IF($B26="","",IFERROR(INDIRECT("'"&amp;$B26&amp;"'!D22"),""))</f>
        <v/>
      </c>
      <c r="J26" s="15">
        <f>IF($B26="","",IFERROR(INDIRECT("'"&amp;$B26&amp;"'!C23"),""))</f>
        <v/>
      </c>
      <c r="K26" s="15">
        <f>IF($B26="","",IFERROR(INDIRECT("'"&amp;$B26&amp;"'!D23"),""))</f>
        <v/>
      </c>
      <c r="L26" s="15">
        <f>IF($B26="","",IFERROR(INDIRECT("'"&amp;$B26&amp;"'!D24"),""))</f>
        <v/>
      </c>
      <c r="M26" s="15">
        <f>IF($B26="","",IFERROR(INDIRECT("'"&amp;$B26&amp;"'!D25"),""))</f>
        <v/>
      </c>
      <c r="N26" s="15">
        <f>IF($B26="","",IFERROR(INDIRECT("'"&amp;$B26&amp;"'!D26"),""))</f>
        <v/>
      </c>
      <c r="O26" s="15">
        <f>IF($B26="","",IFERROR(INDIRECT("'"&amp;$B26&amp;"'!D27"),""))</f>
        <v/>
      </c>
      <c r="P26" s="16">
        <f>IF(OR($B26="",N(H26)=0),"",K26/H26)</f>
        <v/>
      </c>
      <c r="Q26" s="15">
        <f>IF($B26="","",IFERROR(INDIRECT("'"&amp;$B26&amp;"'!D55"),""))</f>
        <v/>
      </c>
      <c r="R26" s="15">
        <f>IF($B26="","",IFERROR(INDIRECT("'"&amp;$B26&amp;"'!D64"),""))</f>
        <v/>
      </c>
      <c r="S26" s="15">
        <f>IF($B26="","",IFERROR(INDIRECT("'"&amp;$B26&amp;"'!D65"),""))</f>
        <v/>
      </c>
      <c r="T26" s="16">
        <f>IF(OR($B26="",N(Q26)=0),"",S26/Q26)</f>
        <v/>
      </c>
      <c r="U26" s="15">
        <f>IF(OR($B26="",N(K26)=0),"",S26/K26)</f>
        <v/>
      </c>
      <c r="V26" s="15">
        <f>IF($B26="","",IFERROR(INDIRECT("'"&amp;$B26&amp;"'!D59"),""))</f>
        <v/>
      </c>
      <c r="W26" s="17">
        <f>IF($B26="","",IFERROR(INDIRECT("'"&amp;$B26&amp;"'!D32"),""))</f>
        <v/>
      </c>
      <c r="X26" s="6">
        <f>IF($B26="","",IFERROR(INDIRECT("'"&amp;$B26&amp;"'!C18")&amp;"",""))</f>
        <v/>
      </c>
    </row>
    <row r="27">
      <c r="A27" s="6">
        <f>IF($B27="","",IFERROR(INDIRECT("'"&amp;$B27&amp;"'!C5")&amp;"",""))</f>
        <v/>
      </c>
      <c r="B27" s="5" t="n"/>
      <c r="C27" s="13">
        <f>IF($B27="","",IFERROR(INDIRECT("'"&amp;$B27&amp;"'!C8"),""))</f>
        <v/>
      </c>
      <c r="D27" s="14">
        <f>IF(OR($B27="",C27=""),"",CHOOSE(WEEKDAY(C27),"日","月","火","水","木","金","土"))</f>
        <v/>
      </c>
      <c r="E27" s="6">
        <f>IF($B27="","",IFERROR(INDIRECT("'"&amp;$B27&amp;"'!C6")&amp;"",""))</f>
        <v/>
      </c>
      <c r="F27" s="6">
        <f>IF($B27="","",IFERROR(INDIRECT("'"&amp;$B27&amp;"'!C7")&amp;"",""))</f>
        <v/>
      </c>
      <c r="G27" s="6">
        <f>IF($B27="","",IFERROR(INDIRECT("'"&amp;$B27&amp;"'!C12")&amp;"",""))</f>
        <v/>
      </c>
      <c r="H27" s="15">
        <f>IF($B27="","",IFERROR(INDIRECT("'"&amp;$B27&amp;"'!C13"),""))</f>
        <v/>
      </c>
      <c r="I27" s="15">
        <f>IF($B27="","",IFERROR(INDIRECT("'"&amp;$B27&amp;"'!D22"),""))</f>
        <v/>
      </c>
      <c r="J27" s="15">
        <f>IF($B27="","",IFERROR(INDIRECT("'"&amp;$B27&amp;"'!C23"),""))</f>
        <v/>
      </c>
      <c r="K27" s="15">
        <f>IF($B27="","",IFERROR(INDIRECT("'"&amp;$B27&amp;"'!D23"),""))</f>
        <v/>
      </c>
      <c r="L27" s="15">
        <f>IF($B27="","",IFERROR(INDIRECT("'"&amp;$B27&amp;"'!D24"),""))</f>
        <v/>
      </c>
      <c r="M27" s="15">
        <f>IF($B27="","",IFERROR(INDIRECT("'"&amp;$B27&amp;"'!D25"),""))</f>
        <v/>
      </c>
      <c r="N27" s="15">
        <f>IF($B27="","",IFERROR(INDIRECT("'"&amp;$B27&amp;"'!D26"),""))</f>
        <v/>
      </c>
      <c r="O27" s="15">
        <f>IF($B27="","",IFERROR(INDIRECT("'"&amp;$B27&amp;"'!D27"),""))</f>
        <v/>
      </c>
      <c r="P27" s="16">
        <f>IF(OR($B27="",N(H27)=0),"",K27/H27)</f>
        <v/>
      </c>
      <c r="Q27" s="15">
        <f>IF($B27="","",IFERROR(INDIRECT("'"&amp;$B27&amp;"'!D55"),""))</f>
        <v/>
      </c>
      <c r="R27" s="15">
        <f>IF($B27="","",IFERROR(INDIRECT("'"&amp;$B27&amp;"'!D64"),""))</f>
        <v/>
      </c>
      <c r="S27" s="15">
        <f>IF($B27="","",IFERROR(INDIRECT("'"&amp;$B27&amp;"'!D65"),""))</f>
        <v/>
      </c>
      <c r="T27" s="16">
        <f>IF(OR($B27="",N(Q27)=0),"",S27/Q27)</f>
        <v/>
      </c>
      <c r="U27" s="15">
        <f>IF(OR($B27="",N(K27)=0),"",S27/K27)</f>
        <v/>
      </c>
      <c r="V27" s="15">
        <f>IF($B27="","",IFERROR(INDIRECT("'"&amp;$B27&amp;"'!D59"),""))</f>
        <v/>
      </c>
      <c r="W27" s="17">
        <f>IF($B27="","",IFERROR(INDIRECT("'"&amp;$B27&amp;"'!D32"),""))</f>
        <v/>
      </c>
      <c r="X27" s="6">
        <f>IF($B27="","",IFERROR(INDIRECT("'"&amp;$B27&amp;"'!C18")&amp;"",""))</f>
        <v/>
      </c>
    </row>
    <row r="28">
      <c r="A28" s="6">
        <f>IF($B28="","",IFERROR(INDIRECT("'"&amp;$B28&amp;"'!C5")&amp;"",""))</f>
        <v/>
      </c>
      <c r="B28" s="5" t="n"/>
      <c r="C28" s="13">
        <f>IF($B28="","",IFERROR(INDIRECT("'"&amp;$B28&amp;"'!C8"),""))</f>
        <v/>
      </c>
      <c r="D28" s="14">
        <f>IF(OR($B28="",C28=""),"",CHOOSE(WEEKDAY(C28),"日","月","火","水","木","金","土"))</f>
        <v/>
      </c>
      <c r="E28" s="6">
        <f>IF($B28="","",IFERROR(INDIRECT("'"&amp;$B28&amp;"'!C6")&amp;"",""))</f>
        <v/>
      </c>
      <c r="F28" s="6">
        <f>IF($B28="","",IFERROR(INDIRECT("'"&amp;$B28&amp;"'!C7")&amp;"",""))</f>
        <v/>
      </c>
      <c r="G28" s="6">
        <f>IF($B28="","",IFERROR(INDIRECT("'"&amp;$B28&amp;"'!C12")&amp;"",""))</f>
        <v/>
      </c>
      <c r="H28" s="15">
        <f>IF($B28="","",IFERROR(INDIRECT("'"&amp;$B28&amp;"'!C13"),""))</f>
        <v/>
      </c>
      <c r="I28" s="15">
        <f>IF($B28="","",IFERROR(INDIRECT("'"&amp;$B28&amp;"'!D22"),""))</f>
        <v/>
      </c>
      <c r="J28" s="15">
        <f>IF($B28="","",IFERROR(INDIRECT("'"&amp;$B28&amp;"'!C23"),""))</f>
        <v/>
      </c>
      <c r="K28" s="15">
        <f>IF($B28="","",IFERROR(INDIRECT("'"&amp;$B28&amp;"'!D23"),""))</f>
        <v/>
      </c>
      <c r="L28" s="15">
        <f>IF($B28="","",IFERROR(INDIRECT("'"&amp;$B28&amp;"'!D24"),""))</f>
        <v/>
      </c>
      <c r="M28" s="15">
        <f>IF($B28="","",IFERROR(INDIRECT("'"&amp;$B28&amp;"'!D25"),""))</f>
        <v/>
      </c>
      <c r="N28" s="15">
        <f>IF($B28="","",IFERROR(INDIRECT("'"&amp;$B28&amp;"'!D26"),""))</f>
        <v/>
      </c>
      <c r="O28" s="15">
        <f>IF($B28="","",IFERROR(INDIRECT("'"&amp;$B28&amp;"'!D27"),""))</f>
        <v/>
      </c>
      <c r="P28" s="16">
        <f>IF(OR($B28="",N(H28)=0),"",K28/H28)</f>
        <v/>
      </c>
      <c r="Q28" s="15">
        <f>IF($B28="","",IFERROR(INDIRECT("'"&amp;$B28&amp;"'!D55"),""))</f>
        <v/>
      </c>
      <c r="R28" s="15">
        <f>IF($B28="","",IFERROR(INDIRECT("'"&amp;$B28&amp;"'!D64"),""))</f>
        <v/>
      </c>
      <c r="S28" s="15">
        <f>IF($B28="","",IFERROR(INDIRECT("'"&amp;$B28&amp;"'!D65"),""))</f>
        <v/>
      </c>
      <c r="T28" s="16">
        <f>IF(OR($B28="",N(Q28)=0),"",S28/Q28)</f>
        <v/>
      </c>
      <c r="U28" s="15">
        <f>IF(OR($B28="",N(K28)=0),"",S28/K28)</f>
        <v/>
      </c>
      <c r="V28" s="15">
        <f>IF($B28="","",IFERROR(INDIRECT("'"&amp;$B28&amp;"'!D59"),""))</f>
        <v/>
      </c>
      <c r="W28" s="17">
        <f>IF($B28="","",IFERROR(INDIRECT("'"&amp;$B28&amp;"'!D32"),""))</f>
        <v/>
      </c>
      <c r="X28" s="6">
        <f>IF($B28="","",IFERROR(INDIRECT("'"&amp;$B28&amp;"'!C18")&amp;"",""))</f>
        <v/>
      </c>
    </row>
    <row r="29">
      <c r="A29" s="6">
        <f>IF($B29="","",IFERROR(INDIRECT("'"&amp;$B29&amp;"'!C5")&amp;"",""))</f>
        <v/>
      </c>
      <c r="B29" s="5" t="n"/>
      <c r="C29" s="13">
        <f>IF($B29="","",IFERROR(INDIRECT("'"&amp;$B29&amp;"'!C8"),""))</f>
        <v/>
      </c>
      <c r="D29" s="14">
        <f>IF(OR($B29="",C29=""),"",CHOOSE(WEEKDAY(C29),"日","月","火","水","木","金","土"))</f>
        <v/>
      </c>
      <c r="E29" s="6">
        <f>IF($B29="","",IFERROR(INDIRECT("'"&amp;$B29&amp;"'!C6")&amp;"",""))</f>
        <v/>
      </c>
      <c r="F29" s="6">
        <f>IF($B29="","",IFERROR(INDIRECT("'"&amp;$B29&amp;"'!C7")&amp;"",""))</f>
        <v/>
      </c>
      <c r="G29" s="6">
        <f>IF($B29="","",IFERROR(INDIRECT("'"&amp;$B29&amp;"'!C12")&amp;"",""))</f>
        <v/>
      </c>
      <c r="H29" s="15">
        <f>IF($B29="","",IFERROR(INDIRECT("'"&amp;$B29&amp;"'!C13"),""))</f>
        <v/>
      </c>
      <c r="I29" s="15">
        <f>IF($B29="","",IFERROR(INDIRECT("'"&amp;$B29&amp;"'!D22"),""))</f>
        <v/>
      </c>
      <c r="J29" s="15">
        <f>IF($B29="","",IFERROR(INDIRECT("'"&amp;$B29&amp;"'!C23"),""))</f>
        <v/>
      </c>
      <c r="K29" s="15">
        <f>IF($B29="","",IFERROR(INDIRECT("'"&amp;$B29&amp;"'!D23"),""))</f>
        <v/>
      </c>
      <c r="L29" s="15">
        <f>IF($B29="","",IFERROR(INDIRECT("'"&amp;$B29&amp;"'!D24"),""))</f>
        <v/>
      </c>
      <c r="M29" s="15">
        <f>IF($B29="","",IFERROR(INDIRECT("'"&amp;$B29&amp;"'!D25"),""))</f>
        <v/>
      </c>
      <c r="N29" s="15">
        <f>IF($B29="","",IFERROR(INDIRECT("'"&amp;$B29&amp;"'!D26"),""))</f>
        <v/>
      </c>
      <c r="O29" s="15">
        <f>IF($B29="","",IFERROR(INDIRECT("'"&amp;$B29&amp;"'!D27"),""))</f>
        <v/>
      </c>
      <c r="P29" s="16">
        <f>IF(OR($B29="",N(H29)=0),"",K29/H29)</f>
        <v/>
      </c>
      <c r="Q29" s="15">
        <f>IF($B29="","",IFERROR(INDIRECT("'"&amp;$B29&amp;"'!D55"),""))</f>
        <v/>
      </c>
      <c r="R29" s="15">
        <f>IF($B29="","",IFERROR(INDIRECT("'"&amp;$B29&amp;"'!D64"),""))</f>
        <v/>
      </c>
      <c r="S29" s="15">
        <f>IF($B29="","",IFERROR(INDIRECT("'"&amp;$B29&amp;"'!D65"),""))</f>
        <v/>
      </c>
      <c r="T29" s="16">
        <f>IF(OR($B29="",N(Q29)=0),"",S29/Q29)</f>
        <v/>
      </c>
      <c r="U29" s="15">
        <f>IF(OR($B29="",N(K29)=0),"",S29/K29)</f>
        <v/>
      </c>
      <c r="V29" s="15">
        <f>IF($B29="","",IFERROR(INDIRECT("'"&amp;$B29&amp;"'!D59"),""))</f>
        <v/>
      </c>
      <c r="W29" s="17">
        <f>IF($B29="","",IFERROR(INDIRECT("'"&amp;$B29&amp;"'!D32"),""))</f>
        <v/>
      </c>
      <c r="X29" s="6">
        <f>IF($B29="","",IFERROR(INDIRECT("'"&amp;$B29&amp;"'!C18")&amp;"",""))</f>
        <v/>
      </c>
    </row>
    <row r="30">
      <c r="A30" s="6">
        <f>IF($B30="","",IFERROR(INDIRECT("'"&amp;$B30&amp;"'!C5")&amp;"",""))</f>
        <v/>
      </c>
      <c r="B30" s="5" t="n"/>
      <c r="C30" s="13">
        <f>IF($B30="","",IFERROR(INDIRECT("'"&amp;$B30&amp;"'!C8"),""))</f>
        <v/>
      </c>
      <c r="D30" s="14">
        <f>IF(OR($B30="",C30=""),"",CHOOSE(WEEKDAY(C30),"日","月","火","水","木","金","土"))</f>
        <v/>
      </c>
      <c r="E30" s="6">
        <f>IF($B30="","",IFERROR(INDIRECT("'"&amp;$B30&amp;"'!C6")&amp;"",""))</f>
        <v/>
      </c>
      <c r="F30" s="6">
        <f>IF($B30="","",IFERROR(INDIRECT("'"&amp;$B30&amp;"'!C7")&amp;"",""))</f>
        <v/>
      </c>
      <c r="G30" s="6">
        <f>IF($B30="","",IFERROR(INDIRECT("'"&amp;$B30&amp;"'!C12")&amp;"",""))</f>
        <v/>
      </c>
      <c r="H30" s="15">
        <f>IF($B30="","",IFERROR(INDIRECT("'"&amp;$B30&amp;"'!C13"),""))</f>
        <v/>
      </c>
      <c r="I30" s="15">
        <f>IF($B30="","",IFERROR(INDIRECT("'"&amp;$B30&amp;"'!D22"),""))</f>
        <v/>
      </c>
      <c r="J30" s="15">
        <f>IF($B30="","",IFERROR(INDIRECT("'"&amp;$B30&amp;"'!C23"),""))</f>
        <v/>
      </c>
      <c r="K30" s="15">
        <f>IF($B30="","",IFERROR(INDIRECT("'"&amp;$B30&amp;"'!D23"),""))</f>
        <v/>
      </c>
      <c r="L30" s="15">
        <f>IF($B30="","",IFERROR(INDIRECT("'"&amp;$B30&amp;"'!D24"),""))</f>
        <v/>
      </c>
      <c r="M30" s="15">
        <f>IF($B30="","",IFERROR(INDIRECT("'"&amp;$B30&amp;"'!D25"),""))</f>
        <v/>
      </c>
      <c r="N30" s="15">
        <f>IF($B30="","",IFERROR(INDIRECT("'"&amp;$B30&amp;"'!D26"),""))</f>
        <v/>
      </c>
      <c r="O30" s="15">
        <f>IF($B30="","",IFERROR(INDIRECT("'"&amp;$B30&amp;"'!D27"),""))</f>
        <v/>
      </c>
      <c r="P30" s="16">
        <f>IF(OR($B30="",N(H30)=0),"",K30/H30)</f>
        <v/>
      </c>
      <c r="Q30" s="15">
        <f>IF($B30="","",IFERROR(INDIRECT("'"&amp;$B30&amp;"'!D55"),""))</f>
        <v/>
      </c>
      <c r="R30" s="15">
        <f>IF($B30="","",IFERROR(INDIRECT("'"&amp;$B30&amp;"'!D64"),""))</f>
        <v/>
      </c>
      <c r="S30" s="15">
        <f>IF($B30="","",IFERROR(INDIRECT("'"&amp;$B30&amp;"'!D65"),""))</f>
        <v/>
      </c>
      <c r="T30" s="16">
        <f>IF(OR($B30="",N(Q30)=0),"",S30/Q30)</f>
        <v/>
      </c>
      <c r="U30" s="15">
        <f>IF(OR($B30="",N(K30)=0),"",S30/K30)</f>
        <v/>
      </c>
      <c r="V30" s="15">
        <f>IF($B30="","",IFERROR(INDIRECT("'"&amp;$B30&amp;"'!D59"),""))</f>
        <v/>
      </c>
      <c r="W30" s="17">
        <f>IF($B30="","",IFERROR(INDIRECT("'"&amp;$B30&amp;"'!D32"),""))</f>
        <v/>
      </c>
      <c r="X30" s="6">
        <f>IF($B30="","",IFERROR(INDIRECT("'"&amp;$B30&amp;"'!C18")&amp;"",""))</f>
        <v/>
      </c>
    </row>
    <row r="31">
      <c r="A31" s="6">
        <f>IF($B31="","",IFERROR(INDIRECT("'"&amp;$B31&amp;"'!C5")&amp;"",""))</f>
        <v/>
      </c>
      <c r="B31" s="5" t="n"/>
      <c r="C31" s="13">
        <f>IF($B31="","",IFERROR(INDIRECT("'"&amp;$B31&amp;"'!C8"),""))</f>
        <v/>
      </c>
      <c r="D31" s="14">
        <f>IF(OR($B31="",C31=""),"",CHOOSE(WEEKDAY(C31),"日","月","火","水","木","金","土"))</f>
        <v/>
      </c>
      <c r="E31" s="6">
        <f>IF($B31="","",IFERROR(INDIRECT("'"&amp;$B31&amp;"'!C6")&amp;"",""))</f>
        <v/>
      </c>
      <c r="F31" s="6">
        <f>IF($B31="","",IFERROR(INDIRECT("'"&amp;$B31&amp;"'!C7")&amp;"",""))</f>
        <v/>
      </c>
      <c r="G31" s="6">
        <f>IF($B31="","",IFERROR(INDIRECT("'"&amp;$B31&amp;"'!C12")&amp;"",""))</f>
        <v/>
      </c>
      <c r="H31" s="15">
        <f>IF($B31="","",IFERROR(INDIRECT("'"&amp;$B31&amp;"'!C13"),""))</f>
        <v/>
      </c>
      <c r="I31" s="15">
        <f>IF($B31="","",IFERROR(INDIRECT("'"&amp;$B31&amp;"'!D22"),""))</f>
        <v/>
      </c>
      <c r="J31" s="15">
        <f>IF($B31="","",IFERROR(INDIRECT("'"&amp;$B31&amp;"'!C23"),""))</f>
        <v/>
      </c>
      <c r="K31" s="15">
        <f>IF($B31="","",IFERROR(INDIRECT("'"&amp;$B31&amp;"'!D23"),""))</f>
        <v/>
      </c>
      <c r="L31" s="15">
        <f>IF($B31="","",IFERROR(INDIRECT("'"&amp;$B31&amp;"'!D24"),""))</f>
        <v/>
      </c>
      <c r="M31" s="15">
        <f>IF($B31="","",IFERROR(INDIRECT("'"&amp;$B31&amp;"'!D25"),""))</f>
        <v/>
      </c>
      <c r="N31" s="15">
        <f>IF($B31="","",IFERROR(INDIRECT("'"&amp;$B31&amp;"'!D26"),""))</f>
        <v/>
      </c>
      <c r="O31" s="15">
        <f>IF($B31="","",IFERROR(INDIRECT("'"&amp;$B31&amp;"'!D27"),""))</f>
        <v/>
      </c>
      <c r="P31" s="16">
        <f>IF(OR($B31="",N(H31)=0),"",K31/H31)</f>
        <v/>
      </c>
      <c r="Q31" s="15">
        <f>IF($B31="","",IFERROR(INDIRECT("'"&amp;$B31&amp;"'!D55"),""))</f>
        <v/>
      </c>
      <c r="R31" s="15">
        <f>IF($B31="","",IFERROR(INDIRECT("'"&amp;$B31&amp;"'!D64"),""))</f>
        <v/>
      </c>
      <c r="S31" s="15">
        <f>IF($B31="","",IFERROR(INDIRECT("'"&amp;$B31&amp;"'!D65"),""))</f>
        <v/>
      </c>
      <c r="T31" s="16">
        <f>IF(OR($B31="",N(Q31)=0),"",S31/Q31)</f>
        <v/>
      </c>
      <c r="U31" s="15">
        <f>IF(OR($B31="",N(K31)=0),"",S31/K31)</f>
        <v/>
      </c>
      <c r="V31" s="15">
        <f>IF($B31="","",IFERROR(INDIRECT("'"&amp;$B31&amp;"'!D59"),""))</f>
        <v/>
      </c>
      <c r="W31" s="17">
        <f>IF($B31="","",IFERROR(INDIRECT("'"&amp;$B31&amp;"'!D32"),""))</f>
        <v/>
      </c>
      <c r="X31" s="6">
        <f>IF($B31="","",IFERROR(INDIRECT("'"&amp;$B31&amp;"'!C18")&amp;"",""))</f>
        <v/>
      </c>
    </row>
    <row r="32">
      <c r="A32" s="6">
        <f>IF($B32="","",IFERROR(INDIRECT("'"&amp;$B32&amp;"'!C5")&amp;"",""))</f>
        <v/>
      </c>
      <c r="B32" s="5" t="n"/>
      <c r="C32" s="13">
        <f>IF($B32="","",IFERROR(INDIRECT("'"&amp;$B32&amp;"'!C8"),""))</f>
        <v/>
      </c>
      <c r="D32" s="14">
        <f>IF(OR($B32="",C32=""),"",CHOOSE(WEEKDAY(C32),"日","月","火","水","木","金","土"))</f>
        <v/>
      </c>
      <c r="E32" s="6">
        <f>IF($B32="","",IFERROR(INDIRECT("'"&amp;$B32&amp;"'!C6")&amp;"",""))</f>
        <v/>
      </c>
      <c r="F32" s="6">
        <f>IF($B32="","",IFERROR(INDIRECT("'"&amp;$B32&amp;"'!C7")&amp;"",""))</f>
        <v/>
      </c>
      <c r="G32" s="6">
        <f>IF($B32="","",IFERROR(INDIRECT("'"&amp;$B32&amp;"'!C12")&amp;"",""))</f>
        <v/>
      </c>
      <c r="H32" s="15">
        <f>IF($B32="","",IFERROR(INDIRECT("'"&amp;$B32&amp;"'!C13"),""))</f>
        <v/>
      </c>
      <c r="I32" s="15">
        <f>IF($B32="","",IFERROR(INDIRECT("'"&amp;$B32&amp;"'!D22"),""))</f>
        <v/>
      </c>
      <c r="J32" s="15">
        <f>IF($B32="","",IFERROR(INDIRECT("'"&amp;$B32&amp;"'!C23"),""))</f>
        <v/>
      </c>
      <c r="K32" s="15">
        <f>IF($B32="","",IFERROR(INDIRECT("'"&amp;$B32&amp;"'!D23"),""))</f>
        <v/>
      </c>
      <c r="L32" s="15">
        <f>IF($B32="","",IFERROR(INDIRECT("'"&amp;$B32&amp;"'!D24"),""))</f>
        <v/>
      </c>
      <c r="M32" s="15">
        <f>IF($B32="","",IFERROR(INDIRECT("'"&amp;$B32&amp;"'!D25"),""))</f>
        <v/>
      </c>
      <c r="N32" s="15">
        <f>IF($B32="","",IFERROR(INDIRECT("'"&amp;$B32&amp;"'!D26"),""))</f>
        <v/>
      </c>
      <c r="O32" s="15">
        <f>IF($B32="","",IFERROR(INDIRECT("'"&amp;$B32&amp;"'!D27"),""))</f>
        <v/>
      </c>
      <c r="P32" s="16">
        <f>IF(OR($B32="",N(H32)=0),"",K32/H32)</f>
        <v/>
      </c>
      <c r="Q32" s="15">
        <f>IF($B32="","",IFERROR(INDIRECT("'"&amp;$B32&amp;"'!D55"),""))</f>
        <v/>
      </c>
      <c r="R32" s="15">
        <f>IF($B32="","",IFERROR(INDIRECT("'"&amp;$B32&amp;"'!D64"),""))</f>
        <v/>
      </c>
      <c r="S32" s="15">
        <f>IF($B32="","",IFERROR(INDIRECT("'"&amp;$B32&amp;"'!D65"),""))</f>
        <v/>
      </c>
      <c r="T32" s="16">
        <f>IF(OR($B32="",N(Q32)=0),"",S32/Q32)</f>
        <v/>
      </c>
      <c r="U32" s="15">
        <f>IF(OR($B32="",N(K32)=0),"",S32/K32)</f>
        <v/>
      </c>
      <c r="V32" s="15">
        <f>IF($B32="","",IFERROR(INDIRECT("'"&amp;$B32&amp;"'!D59"),""))</f>
        <v/>
      </c>
      <c r="W32" s="17">
        <f>IF($B32="","",IFERROR(INDIRECT("'"&amp;$B32&amp;"'!D32"),""))</f>
        <v/>
      </c>
      <c r="X32" s="6">
        <f>IF($B32="","",IFERROR(INDIRECT("'"&amp;$B32&amp;"'!C18")&amp;"",""))</f>
        <v/>
      </c>
    </row>
    <row r="33">
      <c r="A33" s="6">
        <f>IF($B33="","",IFERROR(INDIRECT("'"&amp;$B33&amp;"'!C5")&amp;"",""))</f>
        <v/>
      </c>
      <c r="B33" s="5" t="n"/>
      <c r="C33" s="13">
        <f>IF($B33="","",IFERROR(INDIRECT("'"&amp;$B33&amp;"'!C8"),""))</f>
        <v/>
      </c>
      <c r="D33" s="14">
        <f>IF(OR($B33="",C33=""),"",CHOOSE(WEEKDAY(C33),"日","月","火","水","木","金","土"))</f>
        <v/>
      </c>
      <c r="E33" s="6">
        <f>IF($B33="","",IFERROR(INDIRECT("'"&amp;$B33&amp;"'!C6")&amp;"",""))</f>
        <v/>
      </c>
      <c r="F33" s="6">
        <f>IF($B33="","",IFERROR(INDIRECT("'"&amp;$B33&amp;"'!C7")&amp;"",""))</f>
        <v/>
      </c>
      <c r="G33" s="6">
        <f>IF($B33="","",IFERROR(INDIRECT("'"&amp;$B33&amp;"'!C12")&amp;"",""))</f>
        <v/>
      </c>
      <c r="H33" s="15">
        <f>IF($B33="","",IFERROR(INDIRECT("'"&amp;$B33&amp;"'!C13"),""))</f>
        <v/>
      </c>
      <c r="I33" s="15">
        <f>IF($B33="","",IFERROR(INDIRECT("'"&amp;$B33&amp;"'!D22"),""))</f>
        <v/>
      </c>
      <c r="J33" s="15">
        <f>IF($B33="","",IFERROR(INDIRECT("'"&amp;$B33&amp;"'!C23"),""))</f>
        <v/>
      </c>
      <c r="K33" s="15">
        <f>IF($B33="","",IFERROR(INDIRECT("'"&amp;$B33&amp;"'!D23"),""))</f>
        <v/>
      </c>
      <c r="L33" s="15">
        <f>IF($B33="","",IFERROR(INDIRECT("'"&amp;$B33&amp;"'!D24"),""))</f>
        <v/>
      </c>
      <c r="M33" s="15">
        <f>IF($B33="","",IFERROR(INDIRECT("'"&amp;$B33&amp;"'!D25"),""))</f>
        <v/>
      </c>
      <c r="N33" s="15">
        <f>IF($B33="","",IFERROR(INDIRECT("'"&amp;$B33&amp;"'!D26"),""))</f>
        <v/>
      </c>
      <c r="O33" s="15">
        <f>IF($B33="","",IFERROR(INDIRECT("'"&amp;$B33&amp;"'!D27"),""))</f>
        <v/>
      </c>
      <c r="P33" s="16">
        <f>IF(OR($B33="",N(H33)=0),"",K33/H33)</f>
        <v/>
      </c>
      <c r="Q33" s="15">
        <f>IF($B33="","",IFERROR(INDIRECT("'"&amp;$B33&amp;"'!D55"),""))</f>
        <v/>
      </c>
      <c r="R33" s="15">
        <f>IF($B33="","",IFERROR(INDIRECT("'"&amp;$B33&amp;"'!D64"),""))</f>
        <v/>
      </c>
      <c r="S33" s="15">
        <f>IF($B33="","",IFERROR(INDIRECT("'"&amp;$B33&amp;"'!D65"),""))</f>
        <v/>
      </c>
      <c r="T33" s="16">
        <f>IF(OR($B33="",N(Q33)=0),"",S33/Q33)</f>
        <v/>
      </c>
      <c r="U33" s="15">
        <f>IF(OR($B33="",N(K33)=0),"",S33/K33)</f>
        <v/>
      </c>
      <c r="V33" s="15">
        <f>IF($B33="","",IFERROR(INDIRECT("'"&amp;$B33&amp;"'!D59"),""))</f>
        <v/>
      </c>
      <c r="W33" s="17">
        <f>IF($B33="","",IFERROR(INDIRECT("'"&amp;$B33&amp;"'!D32"),""))</f>
        <v/>
      </c>
      <c r="X33" s="6">
        <f>IF($B33="","",IFERROR(INDIRECT("'"&amp;$B33&amp;"'!C18")&amp;"",""))</f>
        <v/>
      </c>
    </row>
    <row r="34">
      <c r="A34" s="6">
        <f>IF($B34="","",IFERROR(INDIRECT("'"&amp;$B34&amp;"'!C5")&amp;"",""))</f>
        <v/>
      </c>
      <c r="B34" s="5" t="n"/>
      <c r="C34" s="13">
        <f>IF($B34="","",IFERROR(INDIRECT("'"&amp;$B34&amp;"'!C8"),""))</f>
        <v/>
      </c>
      <c r="D34" s="14">
        <f>IF(OR($B34="",C34=""),"",CHOOSE(WEEKDAY(C34),"日","月","火","水","木","金","土"))</f>
        <v/>
      </c>
      <c r="E34" s="6">
        <f>IF($B34="","",IFERROR(INDIRECT("'"&amp;$B34&amp;"'!C6")&amp;"",""))</f>
        <v/>
      </c>
      <c r="F34" s="6">
        <f>IF($B34="","",IFERROR(INDIRECT("'"&amp;$B34&amp;"'!C7")&amp;"",""))</f>
        <v/>
      </c>
      <c r="G34" s="6">
        <f>IF($B34="","",IFERROR(INDIRECT("'"&amp;$B34&amp;"'!C12")&amp;"",""))</f>
        <v/>
      </c>
      <c r="H34" s="15">
        <f>IF($B34="","",IFERROR(INDIRECT("'"&amp;$B34&amp;"'!C13"),""))</f>
        <v/>
      </c>
      <c r="I34" s="15">
        <f>IF($B34="","",IFERROR(INDIRECT("'"&amp;$B34&amp;"'!D22"),""))</f>
        <v/>
      </c>
      <c r="J34" s="15">
        <f>IF($B34="","",IFERROR(INDIRECT("'"&amp;$B34&amp;"'!C23"),""))</f>
        <v/>
      </c>
      <c r="K34" s="15">
        <f>IF($B34="","",IFERROR(INDIRECT("'"&amp;$B34&amp;"'!D23"),""))</f>
        <v/>
      </c>
      <c r="L34" s="15">
        <f>IF($B34="","",IFERROR(INDIRECT("'"&amp;$B34&amp;"'!D24"),""))</f>
        <v/>
      </c>
      <c r="M34" s="15">
        <f>IF($B34="","",IFERROR(INDIRECT("'"&amp;$B34&amp;"'!D25"),""))</f>
        <v/>
      </c>
      <c r="N34" s="15">
        <f>IF($B34="","",IFERROR(INDIRECT("'"&amp;$B34&amp;"'!D26"),""))</f>
        <v/>
      </c>
      <c r="O34" s="15">
        <f>IF($B34="","",IFERROR(INDIRECT("'"&amp;$B34&amp;"'!D27"),""))</f>
        <v/>
      </c>
      <c r="P34" s="16">
        <f>IF(OR($B34="",N(H34)=0),"",K34/H34)</f>
        <v/>
      </c>
      <c r="Q34" s="15">
        <f>IF($B34="","",IFERROR(INDIRECT("'"&amp;$B34&amp;"'!D55"),""))</f>
        <v/>
      </c>
      <c r="R34" s="15">
        <f>IF($B34="","",IFERROR(INDIRECT("'"&amp;$B34&amp;"'!D64"),""))</f>
        <v/>
      </c>
      <c r="S34" s="15">
        <f>IF($B34="","",IFERROR(INDIRECT("'"&amp;$B34&amp;"'!D65"),""))</f>
        <v/>
      </c>
      <c r="T34" s="16">
        <f>IF(OR($B34="",N(Q34)=0),"",S34/Q34)</f>
        <v/>
      </c>
      <c r="U34" s="15">
        <f>IF(OR($B34="",N(K34)=0),"",S34/K34)</f>
        <v/>
      </c>
      <c r="V34" s="15">
        <f>IF($B34="","",IFERROR(INDIRECT("'"&amp;$B34&amp;"'!D59"),""))</f>
        <v/>
      </c>
      <c r="W34" s="17">
        <f>IF($B34="","",IFERROR(INDIRECT("'"&amp;$B34&amp;"'!D32"),""))</f>
        <v/>
      </c>
      <c r="X34" s="6">
        <f>IF($B34="","",IFERROR(INDIRECT("'"&amp;$B34&amp;"'!C18")&amp;"",""))</f>
        <v/>
      </c>
    </row>
    <row r="35">
      <c r="A35" s="6">
        <f>IF($B35="","",IFERROR(INDIRECT("'"&amp;$B35&amp;"'!C5")&amp;"",""))</f>
        <v/>
      </c>
      <c r="B35" s="5" t="n"/>
      <c r="C35" s="13">
        <f>IF($B35="","",IFERROR(INDIRECT("'"&amp;$B35&amp;"'!C8"),""))</f>
        <v/>
      </c>
      <c r="D35" s="14">
        <f>IF(OR($B35="",C35=""),"",CHOOSE(WEEKDAY(C35),"日","月","火","水","木","金","土"))</f>
        <v/>
      </c>
      <c r="E35" s="6">
        <f>IF($B35="","",IFERROR(INDIRECT("'"&amp;$B35&amp;"'!C6")&amp;"",""))</f>
        <v/>
      </c>
      <c r="F35" s="6">
        <f>IF($B35="","",IFERROR(INDIRECT("'"&amp;$B35&amp;"'!C7")&amp;"",""))</f>
        <v/>
      </c>
      <c r="G35" s="6">
        <f>IF($B35="","",IFERROR(INDIRECT("'"&amp;$B35&amp;"'!C12")&amp;"",""))</f>
        <v/>
      </c>
      <c r="H35" s="15">
        <f>IF($B35="","",IFERROR(INDIRECT("'"&amp;$B35&amp;"'!C13"),""))</f>
        <v/>
      </c>
      <c r="I35" s="15">
        <f>IF($B35="","",IFERROR(INDIRECT("'"&amp;$B35&amp;"'!D22"),""))</f>
        <v/>
      </c>
      <c r="J35" s="15">
        <f>IF($B35="","",IFERROR(INDIRECT("'"&amp;$B35&amp;"'!C23"),""))</f>
        <v/>
      </c>
      <c r="K35" s="15">
        <f>IF($B35="","",IFERROR(INDIRECT("'"&amp;$B35&amp;"'!D23"),""))</f>
        <v/>
      </c>
      <c r="L35" s="15">
        <f>IF($B35="","",IFERROR(INDIRECT("'"&amp;$B35&amp;"'!D24"),""))</f>
        <v/>
      </c>
      <c r="M35" s="15">
        <f>IF($B35="","",IFERROR(INDIRECT("'"&amp;$B35&amp;"'!D25"),""))</f>
        <v/>
      </c>
      <c r="N35" s="15">
        <f>IF($B35="","",IFERROR(INDIRECT("'"&amp;$B35&amp;"'!D26"),""))</f>
        <v/>
      </c>
      <c r="O35" s="15">
        <f>IF($B35="","",IFERROR(INDIRECT("'"&amp;$B35&amp;"'!D27"),""))</f>
        <v/>
      </c>
      <c r="P35" s="16">
        <f>IF(OR($B35="",N(H35)=0),"",K35/H35)</f>
        <v/>
      </c>
      <c r="Q35" s="15">
        <f>IF($B35="","",IFERROR(INDIRECT("'"&amp;$B35&amp;"'!D55"),""))</f>
        <v/>
      </c>
      <c r="R35" s="15">
        <f>IF($B35="","",IFERROR(INDIRECT("'"&amp;$B35&amp;"'!D64"),""))</f>
        <v/>
      </c>
      <c r="S35" s="15">
        <f>IF($B35="","",IFERROR(INDIRECT("'"&amp;$B35&amp;"'!D65"),""))</f>
        <v/>
      </c>
      <c r="T35" s="16">
        <f>IF(OR($B35="",N(Q35)=0),"",S35/Q35)</f>
        <v/>
      </c>
      <c r="U35" s="15">
        <f>IF(OR($B35="",N(K35)=0),"",S35/K35)</f>
        <v/>
      </c>
      <c r="V35" s="15">
        <f>IF($B35="","",IFERROR(INDIRECT("'"&amp;$B35&amp;"'!D59"),""))</f>
        <v/>
      </c>
      <c r="W35" s="17">
        <f>IF($B35="","",IFERROR(INDIRECT("'"&amp;$B35&amp;"'!D32"),""))</f>
        <v/>
      </c>
      <c r="X35" s="6">
        <f>IF($B35="","",IFERROR(INDIRECT("'"&amp;$B35&amp;"'!C18")&amp;"",""))</f>
        <v/>
      </c>
    </row>
    <row r="36">
      <c r="A36" s="6">
        <f>IF($B36="","",IFERROR(INDIRECT("'"&amp;$B36&amp;"'!C5")&amp;"",""))</f>
        <v/>
      </c>
      <c r="B36" s="5" t="n"/>
      <c r="C36" s="13">
        <f>IF($B36="","",IFERROR(INDIRECT("'"&amp;$B36&amp;"'!C8"),""))</f>
        <v/>
      </c>
      <c r="D36" s="14">
        <f>IF(OR($B36="",C36=""),"",CHOOSE(WEEKDAY(C36),"日","月","火","水","木","金","土"))</f>
        <v/>
      </c>
      <c r="E36" s="6">
        <f>IF($B36="","",IFERROR(INDIRECT("'"&amp;$B36&amp;"'!C6")&amp;"",""))</f>
        <v/>
      </c>
      <c r="F36" s="6">
        <f>IF($B36="","",IFERROR(INDIRECT("'"&amp;$B36&amp;"'!C7")&amp;"",""))</f>
        <v/>
      </c>
      <c r="G36" s="6">
        <f>IF($B36="","",IFERROR(INDIRECT("'"&amp;$B36&amp;"'!C12")&amp;"",""))</f>
        <v/>
      </c>
      <c r="H36" s="15">
        <f>IF($B36="","",IFERROR(INDIRECT("'"&amp;$B36&amp;"'!C13"),""))</f>
        <v/>
      </c>
      <c r="I36" s="15">
        <f>IF($B36="","",IFERROR(INDIRECT("'"&amp;$B36&amp;"'!D22"),""))</f>
        <v/>
      </c>
      <c r="J36" s="15">
        <f>IF($B36="","",IFERROR(INDIRECT("'"&amp;$B36&amp;"'!C23"),""))</f>
        <v/>
      </c>
      <c r="K36" s="15">
        <f>IF($B36="","",IFERROR(INDIRECT("'"&amp;$B36&amp;"'!D23"),""))</f>
        <v/>
      </c>
      <c r="L36" s="15">
        <f>IF($B36="","",IFERROR(INDIRECT("'"&amp;$B36&amp;"'!D24"),""))</f>
        <v/>
      </c>
      <c r="M36" s="15">
        <f>IF($B36="","",IFERROR(INDIRECT("'"&amp;$B36&amp;"'!D25"),""))</f>
        <v/>
      </c>
      <c r="N36" s="15">
        <f>IF($B36="","",IFERROR(INDIRECT("'"&amp;$B36&amp;"'!D26"),""))</f>
        <v/>
      </c>
      <c r="O36" s="15">
        <f>IF($B36="","",IFERROR(INDIRECT("'"&amp;$B36&amp;"'!D27"),""))</f>
        <v/>
      </c>
      <c r="P36" s="16">
        <f>IF(OR($B36="",N(H36)=0),"",K36/H36)</f>
        <v/>
      </c>
      <c r="Q36" s="15">
        <f>IF($B36="","",IFERROR(INDIRECT("'"&amp;$B36&amp;"'!D55"),""))</f>
        <v/>
      </c>
      <c r="R36" s="15">
        <f>IF($B36="","",IFERROR(INDIRECT("'"&amp;$B36&amp;"'!D64"),""))</f>
        <v/>
      </c>
      <c r="S36" s="15">
        <f>IF($B36="","",IFERROR(INDIRECT("'"&amp;$B36&amp;"'!D65"),""))</f>
        <v/>
      </c>
      <c r="T36" s="16">
        <f>IF(OR($B36="",N(Q36)=0),"",S36/Q36)</f>
        <v/>
      </c>
      <c r="U36" s="15">
        <f>IF(OR($B36="",N(K36)=0),"",S36/K36)</f>
        <v/>
      </c>
      <c r="V36" s="15">
        <f>IF($B36="","",IFERROR(INDIRECT("'"&amp;$B36&amp;"'!D59"),""))</f>
        <v/>
      </c>
      <c r="W36" s="17">
        <f>IF($B36="","",IFERROR(INDIRECT("'"&amp;$B36&amp;"'!D32"),""))</f>
        <v/>
      </c>
      <c r="X36" s="6">
        <f>IF($B36="","",IFERROR(INDIRECT("'"&amp;$B36&amp;"'!C18")&amp;"",""))</f>
        <v/>
      </c>
    </row>
    <row r="37">
      <c r="A37" s="6">
        <f>IF($B37="","",IFERROR(INDIRECT("'"&amp;$B37&amp;"'!C5")&amp;"",""))</f>
        <v/>
      </c>
      <c r="B37" s="5" t="n"/>
      <c r="C37" s="13">
        <f>IF($B37="","",IFERROR(INDIRECT("'"&amp;$B37&amp;"'!C8"),""))</f>
        <v/>
      </c>
      <c r="D37" s="14">
        <f>IF(OR($B37="",C37=""),"",CHOOSE(WEEKDAY(C37),"日","月","火","水","木","金","土"))</f>
        <v/>
      </c>
      <c r="E37" s="6">
        <f>IF($B37="","",IFERROR(INDIRECT("'"&amp;$B37&amp;"'!C6")&amp;"",""))</f>
        <v/>
      </c>
      <c r="F37" s="6">
        <f>IF($B37="","",IFERROR(INDIRECT("'"&amp;$B37&amp;"'!C7")&amp;"",""))</f>
        <v/>
      </c>
      <c r="G37" s="6">
        <f>IF($B37="","",IFERROR(INDIRECT("'"&amp;$B37&amp;"'!C12")&amp;"",""))</f>
        <v/>
      </c>
      <c r="H37" s="15">
        <f>IF($B37="","",IFERROR(INDIRECT("'"&amp;$B37&amp;"'!C13"),""))</f>
        <v/>
      </c>
      <c r="I37" s="15">
        <f>IF($B37="","",IFERROR(INDIRECT("'"&amp;$B37&amp;"'!D22"),""))</f>
        <v/>
      </c>
      <c r="J37" s="15">
        <f>IF($B37="","",IFERROR(INDIRECT("'"&amp;$B37&amp;"'!C23"),""))</f>
        <v/>
      </c>
      <c r="K37" s="15">
        <f>IF($B37="","",IFERROR(INDIRECT("'"&amp;$B37&amp;"'!D23"),""))</f>
        <v/>
      </c>
      <c r="L37" s="15">
        <f>IF($B37="","",IFERROR(INDIRECT("'"&amp;$B37&amp;"'!D24"),""))</f>
        <v/>
      </c>
      <c r="M37" s="15">
        <f>IF($B37="","",IFERROR(INDIRECT("'"&amp;$B37&amp;"'!D25"),""))</f>
        <v/>
      </c>
      <c r="N37" s="15">
        <f>IF($B37="","",IFERROR(INDIRECT("'"&amp;$B37&amp;"'!D26"),""))</f>
        <v/>
      </c>
      <c r="O37" s="15">
        <f>IF($B37="","",IFERROR(INDIRECT("'"&amp;$B37&amp;"'!D27"),""))</f>
        <v/>
      </c>
      <c r="P37" s="16">
        <f>IF(OR($B37="",N(H37)=0),"",K37/H37)</f>
        <v/>
      </c>
      <c r="Q37" s="15">
        <f>IF($B37="","",IFERROR(INDIRECT("'"&amp;$B37&amp;"'!D55"),""))</f>
        <v/>
      </c>
      <c r="R37" s="15">
        <f>IF($B37="","",IFERROR(INDIRECT("'"&amp;$B37&amp;"'!D64"),""))</f>
        <v/>
      </c>
      <c r="S37" s="15">
        <f>IF($B37="","",IFERROR(INDIRECT("'"&amp;$B37&amp;"'!D65"),""))</f>
        <v/>
      </c>
      <c r="T37" s="16">
        <f>IF(OR($B37="",N(Q37)=0),"",S37/Q37)</f>
        <v/>
      </c>
      <c r="U37" s="15">
        <f>IF(OR($B37="",N(K37)=0),"",S37/K37)</f>
        <v/>
      </c>
      <c r="V37" s="15">
        <f>IF($B37="","",IFERROR(INDIRECT("'"&amp;$B37&amp;"'!D59"),""))</f>
        <v/>
      </c>
      <c r="W37" s="17">
        <f>IF($B37="","",IFERROR(INDIRECT("'"&amp;$B37&amp;"'!D32"),""))</f>
        <v/>
      </c>
      <c r="X37" s="6">
        <f>IF($B37="","",IFERROR(INDIRECT("'"&amp;$B37&amp;"'!C18")&amp;"",""))</f>
        <v/>
      </c>
    </row>
    <row r="38">
      <c r="B38" s="18" t="inlineStr">
        <is>
          <t>合計・平均</t>
        </is>
      </c>
      <c r="H38" s="19">
        <f>SUM(H8:H37)</f>
        <v/>
      </c>
      <c r="I38" s="19">
        <f>SUM(I8:I37)</f>
        <v/>
      </c>
      <c r="J38" s="19">
        <f>SUM(J8:J37)</f>
        <v/>
      </c>
      <c r="K38" s="19">
        <f>SUM(K8:K37)</f>
        <v/>
      </c>
      <c r="L38" s="19">
        <f>SUM(L8:L37)</f>
        <v/>
      </c>
      <c r="M38" s="19">
        <f>SUM(M8:M37)</f>
        <v/>
      </c>
      <c r="N38" s="19">
        <f>SUM(N8:N37)</f>
        <v/>
      </c>
      <c r="O38" s="19">
        <f>SUM(O8:O37)</f>
        <v/>
      </c>
      <c r="P38" s="16">
        <f>IFERROR(K38/H38,0)</f>
        <v/>
      </c>
      <c r="Q38" s="19">
        <f>SUM(Q8:Q37)</f>
        <v/>
      </c>
      <c r="R38" s="19">
        <f>SUM(R8:R37)</f>
        <v/>
      </c>
      <c r="S38" s="19">
        <f>SUM(S8:S37)</f>
        <v/>
      </c>
      <c r="T38" s="16">
        <f>IFERROR(S38/Q38,0)</f>
        <v/>
      </c>
      <c r="U38" s="15">
        <f>IFERROR(S38/K38,0)</f>
        <v/>
      </c>
      <c r="V38" s="19">
        <f>SUM(V8:V37)</f>
        <v/>
      </c>
      <c r="W38" s="17">
        <f>IFERROR(AVERAGEIF(W8:W37,"&gt;0"),0)</f>
        <v/>
      </c>
    </row>
    <row r="40">
      <c r="B40" s="7" t="inlineStr">
        <is>
          <t>※ 売上・費用・参加者などの実績は各回シートの【実績】列から自動取得。未実施の回は計画値のみ表示されます。</t>
        </is>
      </c>
    </row>
  </sheetData>
  <mergeCells count="12">
    <mergeCell ref="B5:D5"/>
    <mergeCell ref="Q5:S5"/>
    <mergeCell ref="E5:G5"/>
    <mergeCell ref="K4:M4"/>
    <mergeCell ref="H5:J5"/>
    <mergeCell ref="K5:M5"/>
    <mergeCell ref="B4:D4"/>
    <mergeCell ref="H4:J4"/>
    <mergeCell ref="Q4:S4"/>
    <mergeCell ref="N5:P5"/>
    <mergeCell ref="E4:G4"/>
    <mergeCell ref="N4:P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4A24E"/>
    <outlinePr summaryBelow="1" summaryRight="1"/>
    <pageSetUpPr fitToPage="1"/>
  </sheetPr>
  <dimension ref="A1:S1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1" customWidth="1" min="8" max="8"/>
    <col width="16" customWidth="1" min="9" max="9"/>
    <col width="12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1" customWidth="1" min="16" max="16"/>
    <col width="10" customWidth="1" min="17" max="17"/>
    <col width="12" customWidth="1" min="18" max="18"/>
    <col width="28" customWidth="1" min="19" max="19"/>
  </cols>
  <sheetData>
    <row r="1">
      <c r="A1" s="1" t="inlineStr">
        <is>
          <t>ワイン会 実施前後レポート｜経営者交流ハンガリーワイン会（Class-E）</t>
        </is>
      </c>
    </row>
    <row r="2">
      <c r="A2" s="7" t="inlineStr">
        <is>
          <t>黄色セル＝入力 ／ グレーセル＝自動計算（触らない）。実施前は【計画】列、実施後は【実績】列と参加者リストを記入。</t>
        </is>
      </c>
    </row>
    <row r="3"/>
    <row r="4">
      <c r="A4" s="20" t="inlineStr">
        <is>
          <t>1. 基本情報</t>
        </is>
      </c>
      <c r="B4" s="21" t="n"/>
      <c r="C4" s="21" t="n"/>
      <c r="D4" s="21" t="n"/>
      <c r="E4" s="21" t="n"/>
      <c r="F4" s="21" t="n"/>
      <c r="G4" s="22" t="inlineStr">
        <is>
          <t>実施前チェックリスト</t>
        </is>
      </c>
      <c r="H4" s="23" t="n"/>
      <c r="I4" s="23" t="n"/>
      <c r="J4" s="23" t="n"/>
      <c r="K4" s="23" t="n"/>
      <c r="L4" s="21" t="n"/>
      <c r="M4" s="22" t="inlineStr">
        <is>
          <t>準備の進捗</t>
        </is>
      </c>
      <c r="N4" s="23" t="n"/>
      <c r="O4" s="23" t="n"/>
      <c r="P4" s="21" t="n"/>
      <c r="Q4" s="21" t="n"/>
      <c r="R4" s="21" t="n"/>
      <c r="S4" s="21" t="n"/>
    </row>
    <row r="5">
      <c r="B5" s="18" t="inlineStr">
        <is>
          <t>回No</t>
        </is>
      </c>
      <c r="C5" s="5" t="inlineStr">
        <is>
          <t>—</t>
        </is>
      </c>
      <c r="D5" s="24" t="n"/>
      <c r="E5" s="24" t="n"/>
      <c r="G5" s="12" t="inlineStr">
        <is>
          <t>項目</t>
        </is>
      </c>
      <c r="H5" s="25" t="n"/>
      <c r="I5" s="26" t="n"/>
      <c r="J5" s="12" t="inlineStr">
        <is>
          <t>期限</t>
        </is>
      </c>
      <c r="K5" s="12" t="inlineStr">
        <is>
          <t>状況</t>
        </is>
      </c>
      <c r="M5" s="18" t="inlineStr">
        <is>
          <t>完了</t>
        </is>
      </c>
      <c r="N5" s="6">
        <f>COUNTIF(K6:K17,"完了")&amp;" / "&amp;(COUNTA(K6:K17)-COUNTIF(K6:K17,"対象外"))</f>
        <v/>
      </c>
    </row>
    <row r="6">
      <c r="B6" s="18" t="inlineStr">
        <is>
          <t>イベント名</t>
        </is>
      </c>
      <c r="C6" s="5" t="inlineStr">
        <is>
          <t>経営者交流ハンガリーワイン会（Class-E）</t>
        </is>
      </c>
      <c r="D6" s="24" t="n"/>
      <c r="E6" s="24" t="n"/>
      <c r="G6" s="5" t="inlineStr">
        <is>
          <t>会場予約の確定</t>
        </is>
      </c>
      <c r="H6" s="24" t="n"/>
      <c r="I6" s="24" t="n"/>
      <c r="J6" s="27" t="n"/>
      <c r="K6" s="5" t="inlineStr">
        <is>
          <t>未着手</t>
        </is>
      </c>
    </row>
    <row r="7">
      <c r="B7" s="18" t="inlineStr">
        <is>
          <t>種別</t>
        </is>
      </c>
      <c r="C7" s="5" t="inlineStr">
        <is>
          <t>経営者交流（Class-E）</t>
        </is>
      </c>
      <c r="D7" s="24" t="n"/>
      <c r="E7" s="24" t="n"/>
      <c r="G7" s="5" t="inlineStr">
        <is>
          <t>提供ワイン確定・発注</t>
        </is>
      </c>
      <c r="H7" s="24" t="n"/>
      <c r="I7" s="24" t="n"/>
      <c r="J7" s="27" t="n"/>
      <c r="K7" s="5" t="inlineStr">
        <is>
          <t>未着手</t>
        </is>
      </c>
    </row>
    <row r="8">
      <c r="B8" s="18" t="inlineStr">
        <is>
          <t>開催日</t>
        </is>
      </c>
      <c r="C8" s="28" t="n">
        <v>46167</v>
      </c>
      <c r="D8" s="24" t="n"/>
      <c r="E8" s="24" t="n"/>
      <c r="G8" s="5" t="inlineStr">
        <is>
          <t>告知ページ／LP公開</t>
        </is>
      </c>
      <c r="H8" s="24" t="n"/>
      <c r="I8" s="24" t="n"/>
      <c r="J8" s="27" t="n"/>
      <c r="K8" s="5" t="inlineStr">
        <is>
          <t>未着手</t>
        </is>
      </c>
    </row>
    <row r="9">
      <c r="B9" s="18" t="inlineStr">
        <is>
          <t>開場</t>
        </is>
      </c>
      <c r="C9" s="29" t="n">
        <v>0.7708333333333334</v>
      </c>
      <c r="D9" s="24" t="n"/>
      <c r="E9" s="24" t="n"/>
      <c r="G9" s="5" t="inlineStr">
        <is>
          <t>Instagram告知投稿</t>
        </is>
      </c>
      <c r="H9" s="24" t="n"/>
      <c r="I9" s="24" t="n"/>
      <c r="J9" s="27" t="n"/>
      <c r="K9" s="5" t="inlineStr">
        <is>
          <t>未着手</t>
        </is>
      </c>
    </row>
    <row r="10">
      <c r="B10" s="18" t="inlineStr">
        <is>
          <t>開始</t>
        </is>
      </c>
      <c r="C10" s="29" t="n">
        <v>0.7916666666666666</v>
      </c>
      <c r="D10" s="24" t="n"/>
      <c r="E10" s="24" t="n"/>
      <c r="G10" s="5" t="inlineStr">
        <is>
          <t>LINE告知（3週間前）</t>
        </is>
      </c>
      <c r="H10" s="24" t="n"/>
      <c r="I10" s="24" t="n"/>
      <c r="J10" s="27" t="n"/>
      <c r="K10" s="5" t="inlineStr">
        <is>
          <t>未着手</t>
        </is>
      </c>
    </row>
    <row r="11">
      <c r="B11" s="18" t="inlineStr">
        <is>
          <t>終了</t>
        </is>
      </c>
      <c r="C11" s="29" t="n">
        <v>0.875</v>
      </c>
      <c r="D11" s="24" t="n"/>
      <c r="E11" s="24" t="n"/>
      <c r="G11" s="5" t="inlineStr">
        <is>
          <t>LINE告知（1週間前）</t>
        </is>
      </c>
      <c r="H11" s="24" t="n"/>
      <c r="I11" s="24" t="n"/>
      <c r="J11" s="27" t="n"/>
      <c r="K11" s="5" t="inlineStr">
        <is>
          <t>未着手</t>
        </is>
      </c>
    </row>
    <row r="12">
      <c r="B12" s="18" t="inlineStr">
        <is>
          <t>会場</t>
        </is>
      </c>
      <c r="C12" s="5" t="inlineStr">
        <is>
          <t>The Place ラウンジ（渋谷区道玄坂2-11-1 JMFビル渋谷03 5F）</t>
        </is>
      </c>
      <c r="D12" s="24" t="n"/>
      <c r="E12" s="24" t="n"/>
      <c r="G12" s="5" t="inlineStr">
        <is>
          <t>LINE告知（前日）</t>
        </is>
      </c>
      <c r="H12" s="24" t="n"/>
      <c r="I12" s="24" t="n"/>
      <c r="J12" s="27" t="n"/>
      <c r="K12" s="5" t="inlineStr">
        <is>
          <t>未着手</t>
        </is>
      </c>
    </row>
    <row r="13">
      <c r="B13" s="18" t="inlineStr">
        <is>
          <t>定員（名）</t>
        </is>
      </c>
      <c r="C13" s="30" t="n">
        <v>20</v>
      </c>
      <c r="D13" s="24" t="n"/>
      <c r="E13" s="24" t="n"/>
      <c r="G13" s="5" t="inlineStr">
        <is>
          <t>広告入稿・審査通過</t>
        </is>
      </c>
      <c r="H13" s="24" t="n"/>
      <c r="I13" s="24" t="n"/>
      <c r="J13" s="27" t="n"/>
      <c r="K13" s="5" t="inlineStr">
        <is>
          <t>未着手</t>
        </is>
      </c>
    </row>
    <row r="14">
      <c r="B14" s="18" t="inlineStr">
        <is>
          <t>会費・事前決済（円/税込）</t>
        </is>
      </c>
      <c r="C14" s="30" t="n">
        <v>15000</v>
      </c>
      <c r="D14" s="24" t="n"/>
      <c r="E14" s="24" t="n"/>
      <c r="G14" s="5" t="inlineStr">
        <is>
          <t>参加者へ前日リマインド</t>
        </is>
      </c>
      <c r="H14" s="24" t="n"/>
      <c r="I14" s="24" t="n"/>
      <c r="J14" s="27" t="n"/>
      <c r="K14" s="5" t="inlineStr">
        <is>
          <t>未着手</t>
        </is>
      </c>
    </row>
    <row r="15">
      <c r="B15" s="18" t="inlineStr">
        <is>
          <t>会費・当日決済（円/税込）</t>
        </is>
      </c>
      <c r="C15" s="30" t="n">
        <v>16000</v>
      </c>
      <c r="D15" s="24" t="n"/>
      <c r="E15" s="24" t="n"/>
      <c r="G15" s="5" t="inlineStr">
        <is>
          <t>受付名簿・領収書の準備</t>
        </is>
      </c>
      <c r="H15" s="24" t="n"/>
      <c r="I15" s="24" t="n"/>
      <c r="J15" s="27" t="n"/>
      <c r="K15" s="5" t="inlineStr">
        <is>
          <t>未着手</t>
        </is>
      </c>
    </row>
    <row r="16">
      <c r="B16" s="18" t="inlineStr">
        <is>
          <t>責任者（企画・最終判断）</t>
        </is>
      </c>
      <c r="C16" s="5" t="inlineStr">
        <is>
          <t>高橋</t>
        </is>
      </c>
      <c r="D16" s="24" t="n"/>
      <c r="E16" s="24" t="n"/>
      <c r="G16" s="5" t="inlineStr">
        <is>
          <t>写真掲載の同意確認方法を準備</t>
        </is>
      </c>
      <c r="H16" s="24" t="n"/>
      <c r="I16" s="24" t="n"/>
      <c r="J16" s="27" t="n"/>
      <c r="K16" s="5" t="inlineStr">
        <is>
          <t>未着手</t>
        </is>
      </c>
    </row>
    <row r="17">
      <c r="B17" s="18" t="inlineStr">
        <is>
          <t>運営担当</t>
        </is>
      </c>
      <c r="C17" s="5" t="n"/>
      <c r="D17" s="24" t="n"/>
      <c r="E17" s="24" t="n"/>
      <c r="G17" s="5" t="inlineStr">
        <is>
          <t>当日の流れ・台本の確定</t>
        </is>
      </c>
      <c r="H17" s="24" t="n"/>
      <c r="I17" s="24" t="n"/>
      <c r="J17" s="27" t="n"/>
      <c r="K17" s="5" t="inlineStr">
        <is>
          <t>未着手</t>
        </is>
      </c>
    </row>
    <row r="18">
      <c r="B18" s="18" t="inlineStr">
        <is>
          <t>ステータス</t>
        </is>
      </c>
      <c r="C18" s="5" t="n"/>
      <c r="D18" s="24" t="n"/>
      <c r="E18" s="24" t="n"/>
    </row>
    <row r="19"/>
    <row r="20">
      <c r="A20" s="20" t="inlineStr">
        <is>
          <t>2. 計画 vs 実績（KPI）</t>
        </is>
      </c>
      <c r="B20" s="21" t="n"/>
      <c r="C20" s="21" t="n"/>
      <c r="D20" s="21" t="n"/>
      <c r="E20" s="21" t="n"/>
      <c r="F20" s="31" t="inlineStr">
        <is>
          <t>実施前に【計画】、実施後に【実績】。実績の多くは参加者リストから自動集計</t>
        </is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s="12" t="inlineStr"/>
      <c r="B21" s="12" t="inlineStr">
        <is>
          <t>項目</t>
        </is>
      </c>
      <c r="C21" s="12" t="inlineStr">
        <is>
          <t>計画（実施前）</t>
        </is>
      </c>
      <c r="D21" s="12" t="inlineStr">
        <is>
          <t>実績（実施後）</t>
        </is>
      </c>
      <c r="E21" s="12" t="inlineStr">
        <is>
          <t>差異</t>
        </is>
      </c>
      <c r="F21" s="12" t="inlineStr">
        <is>
          <t>達成率</t>
        </is>
      </c>
      <c r="G21" s="12" t="inlineStr">
        <is>
          <t>メモ</t>
        </is>
      </c>
      <c r="H21" s="25" t="n"/>
      <c r="I21" s="25" t="n"/>
      <c r="J21" s="25" t="n"/>
      <c r="K21" s="26" t="n"/>
    </row>
    <row r="22">
      <c r="B22" s="18" t="inlineStr">
        <is>
          <t>申込数（名）</t>
        </is>
      </c>
      <c r="C22" s="30" t="n"/>
      <c r="D22" s="15">
        <f>COUNTA($B$112:$B$151)</f>
        <v/>
      </c>
      <c r="E22" s="15">
        <f>IF(C22="","",D22-C22)</f>
        <v/>
      </c>
      <c r="F22" s="16">
        <f>IF(OR(C22="",C22=0),"",D22/C22)</f>
        <v/>
      </c>
      <c r="G22" s="5" t="n"/>
      <c r="H22" s="24" t="n"/>
      <c r="I22" s="24" t="n"/>
      <c r="J22" s="24" t="n"/>
      <c r="K22" s="24" t="n"/>
    </row>
    <row r="23">
      <c r="B23" s="18" t="inlineStr">
        <is>
          <t>参加者数（名）</t>
        </is>
      </c>
      <c r="C23" s="30" t="n">
        <v>20</v>
      </c>
      <c r="D23" s="15">
        <f>COUNTIF($L$112:$L$151,"参加")</f>
        <v/>
      </c>
      <c r="E23" s="15">
        <f>IF(C23="","",D23-C23)</f>
        <v/>
      </c>
      <c r="F23" s="16">
        <f>IF(OR(C23="",C23=0),"",D23/C23)</f>
        <v/>
      </c>
      <c r="G23" s="5" t="inlineStr">
        <is>
          <t>LPは「20名限定」表記、料金欄は「定員20〜30名」表記（class-e-lp/index.html）</t>
        </is>
      </c>
      <c r="H23" s="24" t="n"/>
      <c r="I23" s="24" t="n"/>
      <c r="J23" s="24" t="n"/>
      <c r="K23" s="24" t="n"/>
    </row>
    <row r="24">
      <c r="B24" s="3" t="inlineStr">
        <is>
          <t xml:space="preserve">　うち男性</t>
        </is>
      </c>
      <c r="C24" s="30" t="n"/>
      <c r="D24" s="15">
        <f>COUNTIFS($L$112:$L$151,"参加",$D$112:$D$151,"男性")</f>
        <v/>
      </c>
      <c r="E24" s="15">
        <f>IF(C24="","",D24-C24)</f>
        <v/>
      </c>
      <c r="F24" s="16">
        <f>IF(OR(C24="",C24=0),"",D24/C24)</f>
        <v/>
      </c>
      <c r="G24" s="5" t="n"/>
      <c r="H24" s="24" t="n"/>
      <c r="I24" s="24" t="n"/>
      <c r="J24" s="24" t="n"/>
      <c r="K24" s="24" t="n"/>
    </row>
    <row r="25">
      <c r="B25" s="3" t="inlineStr">
        <is>
          <t xml:space="preserve">　うち女性</t>
        </is>
      </c>
      <c r="C25" s="30" t="n"/>
      <c r="D25" s="15">
        <f>COUNTIFS($L$112:$L$151,"参加",$D$112:$D$151,"女性")</f>
        <v/>
      </c>
      <c r="E25" s="15">
        <f>IF(C25="","",D25-C25)</f>
        <v/>
      </c>
      <c r="F25" s="16">
        <f>IF(OR(C25="",C25=0),"",D25/C25)</f>
        <v/>
      </c>
      <c r="G25" s="5" t="n"/>
      <c r="H25" s="24" t="n"/>
      <c r="I25" s="24" t="n"/>
      <c r="J25" s="24" t="n"/>
      <c r="K25" s="24" t="n"/>
    </row>
    <row r="26">
      <c r="B26" s="3" t="inlineStr">
        <is>
          <t xml:space="preserve">　うち新規</t>
        </is>
      </c>
      <c r="C26" s="30" t="n"/>
      <c r="D26" s="15">
        <f>COUNTIFS($L$112:$L$151,"参加",$H$112:$H$151,"新規")</f>
        <v/>
      </c>
      <c r="E26" s="15">
        <f>IF(C26="","",D26-C26)</f>
        <v/>
      </c>
      <c r="F26" s="16">
        <f>IF(OR(C26="",C26=0),"",D26/C26)</f>
        <v/>
      </c>
      <c r="G26" s="5" t="n"/>
      <c r="H26" s="24" t="n"/>
      <c r="I26" s="24" t="n"/>
      <c r="J26" s="24" t="n"/>
      <c r="K26" s="24" t="n"/>
    </row>
    <row r="27">
      <c r="B27" s="3" t="inlineStr">
        <is>
          <t xml:space="preserve">　うちリピーター</t>
        </is>
      </c>
      <c r="C27" s="30" t="n"/>
      <c r="D27" s="15">
        <f>COUNTIFS($L$112:$L$151,"参加",$H$112:$H$151,"リピーター")</f>
        <v/>
      </c>
      <c r="E27" s="15">
        <f>IF(C27="","",D27-C27)</f>
        <v/>
      </c>
      <c r="F27" s="16">
        <f>IF(OR(C27="",C27=0),"",D27/C27)</f>
        <v/>
      </c>
      <c r="G27" s="5" t="n"/>
      <c r="H27" s="24" t="n"/>
      <c r="I27" s="24" t="n"/>
      <c r="J27" s="24" t="n"/>
      <c r="K27" s="24" t="n"/>
    </row>
    <row r="28">
      <c r="B28" s="18" t="inlineStr">
        <is>
          <t>キャンセル数</t>
        </is>
      </c>
      <c r="C28" s="30" t="n"/>
      <c r="D28" s="15">
        <f>COUNTIF($L$112:$L$151,"キャンセル")</f>
        <v/>
      </c>
      <c r="E28" s="15">
        <f>IF(C28="","",D28-C28)</f>
        <v/>
      </c>
      <c r="F28" s="16">
        <f>IF(OR(C28="",C28=0),"",D28/C28)</f>
        <v/>
      </c>
      <c r="G28" s="5" t="n"/>
      <c r="H28" s="24" t="n"/>
      <c r="I28" s="24" t="n"/>
      <c r="J28" s="24" t="n"/>
      <c r="K28" s="24" t="n"/>
    </row>
    <row r="29">
      <c r="B29" s="18" t="inlineStr">
        <is>
          <t>無断欠席数</t>
        </is>
      </c>
      <c r="C29" s="30" t="n"/>
      <c r="D29" s="15">
        <f>COUNTIF($L$112:$L$151,"無断欠席")</f>
        <v/>
      </c>
      <c r="E29" s="15">
        <f>IF(C29="","",D29-C29)</f>
        <v/>
      </c>
      <c r="F29" s="16">
        <f>IF(OR(C29="",C29=0),"",D29/C29)</f>
        <v/>
      </c>
      <c r="G29" s="5" t="n"/>
      <c r="H29" s="24" t="n"/>
      <c r="I29" s="24" t="n"/>
      <c r="J29" s="24" t="n"/>
      <c r="K29" s="24" t="n"/>
    </row>
    <row r="30">
      <c r="B30" s="18" t="inlineStr">
        <is>
          <t>充足率（参加者÷定員）</t>
        </is>
      </c>
      <c r="C30" s="16">
        <f>IFERROR(C23/C13,0)</f>
        <v/>
      </c>
      <c r="D30" s="16">
        <f>IFERROR(D23/C13,0)</f>
        <v/>
      </c>
      <c r="E30" s="16">
        <f>IF(C30="","",D30-C30)</f>
        <v/>
      </c>
      <c r="F30" s="6">
        <f>""</f>
        <v/>
      </c>
      <c r="G30" s="5" t="n"/>
      <c r="H30" s="24" t="n"/>
      <c r="I30" s="24" t="n"/>
      <c r="J30" s="24" t="n"/>
      <c r="K30" s="24" t="n"/>
    </row>
    <row r="31">
      <c r="B31" s="18" t="inlineStr">
        <is>
          <t>LINE友だち追加数（告知期間）</t>
        </is>
      </c>
      <c r="C31" s="30" t="n"/>
      <c r="D31" s="30" t="n"/>
      <c r="E31" s="15">
        <f>IF(C31="","",D31-C31)</f>
        <v/>
      </c>
      <c r="F31" s="16">
        <f>IF(OR(C31="",C31=0),"",D31/C31)</f>
        <v/>
      </c>
      <c r="G31" s="5" t="n"/>
      <c r="H31" s="24" t="n"/>
      <c r="I31" s="24" t="n"/>
      <c r="J31" s="24" t="n"/>
      <c r="K31" s="24" t="n"/>
    </row>
    <row r="32">
      <c r="B32" s="18" t="inlineStr">
        <is>
          <t>満足度 平均（5段階）</t>
        </is>
      </c>
      <c r="C32" s="32" t="n"/>
      <c r="D32" s="17">
        <f>IFERROR(AVERAGEIFS($Q$112:$Q$151,$L$112:$L$151,"参加",$Q$112:$Q$151,"&gt;0"),0)</f>
        <v/>
      </c>
      <c r="E32" s="17">
        <f>IF(C32="","",D32-C32)</f>
        <v/>
      </c>
      <c r="F32" s="6">
        <f>""</f>
        <v/>
      </c>
      <c r="G32" s="5" t="n"/>
      <c r="H32" s="24" t="n"/>
      <c r="I32" s="24" t="n"/>
      <c r="J32" s="24" t="n"/>
      <c r="K32" s="24" t="n"/>
    </row>
    <row r="33">
      <c r="B33" s="18" t="inlineStr">
        <is>
          <t>次回参加意向「あり」率</t>
        </is>
      </c>
      <c r="C33" s="33" t="n"/>
      <c r="D33" s="16">
        <f>IFERROR(COUNTIFS($L$112:$L$151,"参加",$R$112:$R$151,"あり")/COUNTIF($L$112:$L$151,"参加"),0)</f>
        <v/>
      </c>
      <c r="E33" s="16">
        <f>IF(C33="","",D33-C33)</f>
        <v/>
      </c>
      <c r="F33" s="6">
        <f>""</f>
        <v/>
      </c>
      <c r="G33" s="5" t="n"/>
      <c r="H33" s="24" t="n"/>
      <c r="I33" s="24" t="n"/>
      <c r="J33" s="24" t="n"/>
      <c r="K33" s="24" t="n"/>
    </row>
    <row r="34">
      <c r="B34" s="18" t="inlineStr">
        <is>
          <t>写真掲載 同意数</t>
        </is>
      </c>
      <c r="C34" s="30" t="n"/>
      <c r="D34" s="15">
        <f>COUNTIFS($L$112:$L$151,"参加",$P$112:$P$151,"同意")</f>
        <v/>
      </c>
      <c r="E34" s="15">
        <f>IF(C34="","",D34-C34)</f>
        <v/>
      </c>
      <c r="F34" s="16">
        <f>IF(OR(C34="",C34=0),"",D34/C34)</f>
        <v/>
      </c>
      <c r="G34" s="5" t="n"/>
      <c r="H34" s="24" t="n"/>
      <c r="I34" s="24" t="n"/>
      <c r="J34" s="24" t="n"/>
      <c r="K34" s="24" t="n"/>
    </row>
    <row r="35">
      <c r="B35" s="18" t="inlineStr">
        <is>
          <t>参加者1名あたり粗利（円）</t>
        </is>
      </c>
      <c r="C35" s="15">
        <f>IFERROR(C65/C23,0)</f>
        <v/>
      </c>
      <c r="D35" s="15">
        <f>IFERROR(D65/D23,0)</f>
        <v/>
      </c>
      <c r="E35" s="15">
        <f>IF(C35="","",D35-C35)</f>
        <v/>
      </c>
      <c r="F35" s="16">
        <f>IF(OR(C35="",C35=0),"",D35/C35)</f>
        <v/>
      </c>
      <c r="G35" s="5" t="n"/>
      <c r="H35" s="24" t="n"/>
      <c r="I35" s="24" t="n"/>
      <c r="J35" s="24" t="n"/>
      <c r="K35" s="24" t="n"/>
    </row>
    <row r="36"/>
    <row r="37">
      <c r="A37" s="20" t="inlineStr">
        <is>
          <t>3. 集客チャネル別（知ったきっかけ）</t>
        </is>
      </c>
      <c r="B37" s="21" t="n"/>
      <c r="C37" s="21" t="n"/>
      <c r="D37" s="21" t="n"/>
      <c r="E37" s="21" t="n"/>
      <c r="F37" s="31" t="inlineStr">
        <is>
          <t>受付で全員に「どこで知りましたか」を聞く（運用マニュアル9-3）</t>
        </is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</row>
    <row r="38">
      <c r="A38" s="12" t="inlineStr"/>
      <c r="B38" s="12" t="inlineStr">
        <is>
          <t>チャネル</t>
        </is>
      </c>
      <c r="C38" s="12" t="inlineStr">
        <is>
          <t>計画（名）</t>
        </is>
      </c>
      <c r="D38" s="12" t="inlineStr">
        <is>
          <t>申込（名）</t>
        </is>
      </c>
      <c r="E38" s="12" t="inlineStr">
        <is>
          <t>参加（名）</t>
        </is>
      </c>
      <c r="F38" s="12" t="inlineStr">
        <is>
          <t>男性（参加）</t>
        </is>
      </c>
      <c r="G38" s="12" t="inlineStr">
        <is>
          <t>女性（参加）</t>
        </is>
      </c>
      <c r="H38" s="12" t="inlineStr">
        <is>
          <t>構成比（参加）</t>
        </is>
      </c>
      <c r="I38" s="12" t="inlineStr">
        <is>
          <t>メモ</t>
        </is>
      </c>
      <c r="J38" s="25" t="n"/>
      <c r="K38" s="26" t="n"/>
    </row>
    <row r="39">
      <c r="B39" s="3" t="inlineStr">
        <is>
          <t>Instagram</t>
        </is>
      </c>
      <c r="C39" s="30" t="n"/>
      <c r="D39" s="15">
        <f>COUNTIF($I$112:$I$151,B39)</f>
        <v/>
      </c>
      <c r="E39" s="15">
        <f>COUNTIFS($L$112:$L$151,"参加",$I$112:$I$151,B39)</f>
        <v/>
      </c>
      <c r="F39" s="15">
        <f>COUNTIFS($L$112:$L$151,"参加",$I$112:$I$151,B39,$D$112:$D$151,"男性")</f>
        <v/>
      </c>
      <c r="G39" s="15">
        <f>COUNTIFS($L$112:$L$151,"参加",$I$112:$I$151,B39,$D$112:$D$151,"女性")</f>
        <v/>
      </c>
      <c r="H39" s="16">
        <f>IFERROR(E39/E$48,0)</f>
        <v/>
      </c>
      <c r="I39" s="5" t="n"/>
      <c r="J39" s="24" t="n"/>
      <c r="K39" s="24" t="n"/>
    </row>
    <row r="40">
      <c r="B40" s="3" t="inlineStr">
        <is>
          <t>Meta広告</t>
        </is>
      </c>
      <c r="C40" s="30" t="n"/>
      <c r="D40" s="15">
        <f>COUNTIF($I$112:$I$151,B40)</f>
        <v/>
      </c>
      <c r="E40" s="15">
        <f>COUNTIFS($L$112:$L$151,"参加",$I$112:$I$151,B40)</f>
        <v/>
      </c>
      <c r="F40" s="15">
        <f>COUNTIFS($L$112:$L$151,"参加",$I$112:$I$151,B40,$D$112:$D$151,"男性")</f>
        <v/>
      </c>
      <c r="G40" s="15">
        <f>COUNTIFS($L$112:$L$151,"参加",$I$112:$I$151,B40,$D$112:$D$151,"女性")</f>
        <v/>
      </c>
      <c r="H40" s="16">
        <f>IFERROR(E40/E$48,0)</f>
        <v/>
      </c>
      <c r="I40" s="5" t="n"/>
      <c r="J40" s="24" t="n"/>
      <c r="K40" s="24" t="n"/>
    </row>
    <row r="41">
      <c r="B41" s="3" t="inlineStr">
        <is>
          <t>LINE</t>
        </is>
      </c>
      <c r="C41" s="30" t="n"/>
      <c r="D41" s="15">
        <f>COUNTIF($I$112:$I$151,B41)</f>
        <v/>
      </c>
      <c r="E41" s="15">
        <f>COUNTIFS($L$112:$L$151,"参加",$I$112:$I$151,B41)</f>
        <v/>
      </c>
      <c r="F41" s="15">
        <f>COUNTIFS($L$112:$L$151,"参加",$I$112:$I$151,B41,$D$112:$D$151,"男性")</f>
        <v/>
      </c>
      <c r="G41" s="15">
        <f>COUNTIFS($L$112:$L$151,"参加",$I$112:$I$151,B41,$D$112:$D$151,"女性")</f>
        <v/>
      </c>
      <c r="H41" s="16">
        <f>IFERROR(E41/E$48,0)</f>
        <v/>
      </c>
      <c r="I41" s="5" t="n"/>
      <c r="J41" s="24" t="n"/>
      <c r="K41" s="24" t="n"/>
    </row>
    <row r="42">
      <c r="B42" s="3" t="inlineStr">
        <is>
          <t>知人・紹介</t>
        </is>
      </c>
      <c r="C42" s="30" t="n"/>
      <c r="D42" s="15">
        <f>COUNTIF($I$112:$I$151,B42)</f>
        <v/>
      </c>
      <c r="E42" s="15">
        <f>COUNTIFS($L$112:$L$151,"参加",$I$112:$I$151,B42)</f>
        <v/>
      </c>
      <c r="F42" s="15">
        <f>COUNTIFS($L$112:$L$151,"参加",$I$112:$I$151,B42,$D$112:$D$151,"男性")</f>
        <v/>
      </c>
      <c r="G42" s="15">
        <f>COUNTIFS($L$112:$L$151,"参加",$I$112:$I$151,B42,$D$112:$D$151,"女性")</f>
        <v/>
      </c>
      <c r="H42" s="16">
        <f>IFERROR(E42/E$48,0)</f>
        <v/>
      </c>
      <c r="I42" s="5" t="n"/>
      <c r="J42" s="24" t="n"/>
      <c r="K42" s="24" t="n"/>
    </row>
    <row r="43">
      <c r="B43" s="3" t="inlineStr">
        <is>
          <t>以前参加</t>
        </is>
      </c>
      <c r="C43" s="30" t="n"/>
      <c r="D43" s="15">
        <f>COUNTIF($I$112:$I$151,B43)</f>
        <v/>
      </c>
      <c r="E43" s="15">
        <f>COUNTIFS($L$112:$L$151,"参加",$I$112:$I$151,B43)</f>
        <v/>
      </c>
      <c r="F43" s="15">
        <f>COUNTIFS($L$112:$L$151,"参加",$I$112:$I$151,B43,$D$112:$D$151,"男性")</f>
        <v/>
      </c>
      <c r="G43" s="15">
        <f>COUNTIFS($L$112:$L$151,"参加",$I$112:$I$151,B43,$D$112:$D$151,"女性")</f>
        <v/>
      </c>
      <c r="H43" s="16">
        <f>IFERROR(E43/E$48,0)</f>
        <v/>
      </c>
      <c r="I43" s="5" t="n"/>
      <c r="J43" s="24" t="n"/>
      <c r="K43" s="24" t="n"/>
    </row>
    <row r="44">
      <c r="B44" s="3" t="inlineStr">
        <is>
          <t>イベントサイト</t>
        </is>
      </c>
      <c r="C44" s="30" t="n"/>
      <c r="D44" s="15">
        <f>COUNTIF($I$112:$I$151,B44)</f>
        <v/>
      </c>
      <c r="E44" s="15">
        <f>COUNTIFS($L$112:$L$151,"参加",$I$112:$I$151,B44)</f>
        <v/>
      </c>
      <c r="F44" s="15">
        <f>COUNTIFS($L$112:$L$151,"参加",$I$112:$I$151,B44,$D$112:$D$151,"男性")</f>
        <v/>
      </c>
      <c r="G44" s="15">
        <f>COUNTIFS($L$112:$L$151,"参加",$I$112:$I$151,B44,$D$112:$D$151,"女性")</f>
        <v/>
      </c>
      <c r="H44" s="16">
        <f>IFERROR(E44/E$48,0)</f>
        <v/>
      </c>
      <c r="I44" s="5" t="n"/>
      <c r="J44" s="24" t="n"/>
      <c r="K44" s="24" t="n"/>
    </row>
    <row r="45">
      <c r="B45" s="3" t="inlineStr">
        <is>
          <t>メールマガジン</t>
        </is>
      </c>
      <c r="C45" s="30" t="n"/>
      <c r="D45" s="15">
        <f>COUNTIF($I$112:$I$151,B45)</f>
        <v/>
      </c>
      <c r="E45" s="15">
        <f>COUNTIFS($L$112:$L$151,"参加",$I$112:$I$151,B45)</f>
        <v/>
      </c>
      <c r="F45" s="15">
        <f>COUNTIFS($L$112:$L$151,"参加",$I$112:$I$151,B45,$D$112:$D$151,"男性")</f>
        <v/>
      </c>
      <c r="G45" s="15">
        <f>COUNTIFS($L$112:$L$151,"参加",$I$112:$I$151,B45,$D$112:$D$151,"女性")</f>
        <v/>
      </c>
      <c r="H45" s="16">
        <f>IFERROR(E45/E$48,0)</f>
        <v/>
      </c>
      <c r="I45" s="5" t="n"/>
      <c r="J45" s="24" t="n"/>
      <c r="K45" s="24" t="n"/>
    </row>
    <row r="46">
      <c r="B46" s="3" t="inlineStr">
        <is>
          <t>検索</t>
        </is>
      </c>
      <c r="C46" s="30" t="n"/>
      <c r="D46" s="15">
        <f>COUNTIF($I$112:$I$151,B46)</f>
        <v/>
      </c>
      <c r="E46" s="15">
        <f>COUNTIFS($L$112:$L$151,"参加",$I$112:$I$151,B46)</f>
        <v/>
      </c>
      <c r="F46" s="15">
        <f>COUNTIFS($L$112:$L$151,"参加",$I$112:$I$151,B46,$D$112:$D$151,"男性")</f>
        <v/>
      </c>
      <c r="G46" s="15">
        <f>COUNTIFS($L$112:$L$151,"参加",$I$112:$I$151,B46,$D$112:$D$151,"女性")</f>
        <v/>
      </c>
      <c r="H46" s="16">
        <f>IFERROR(E46/E$48,0)</f>
        <v/>
      </c>
      <c r="I46" s="5" t="n"/>
      <c r="J46" s="24" t="n"/>
      <c r="K46" s="24" t="n"/>
    </row>
    <row r="47">
      <c r="B47" s="3" t="inlineStr">
        <is>
          <t>その他</t>
        </is>
      </c>
      <c r="C47" s="30" t="n"/>
      <c r="D47" s="15">
        <f>COUNTIF($I$112:$I$151,B47)</f>
        <v/>
      </c>
      <c r="E47" s="15">
        <f>COUNTIFS($L$112:$L$151,"参加",$I$112:$I$151,B47)</f>
        <v/>
      </c>
      <c r="F47" s="15">
        <f>COUNTIFS($L$112:$L$151,"参加",$I$112:$I$151,B47,$D$112:$D$151,"男性")</f>
        <v/>
      </c>
      <c r="G47" s="15">
        <f>COUNTIFS($L$112:$L$151,"参加",$I$112:$I$151,B47,$D$112:$D$151,"女性")</f>
        <v/>
      </c>
      <c r="H47" s="16">
        <f>IFERROR(E47/E$48,0)</f>
        <v/>
      </c>
      <c r="I47" s="5" t="n"/>
      <c r="J47" s="24" t="n"/>
      <c r="K47" s="24" t="n"/>
    </row>
    <row r="48">
      <c r="B48" s="18" t="inlineStr">
        <is>
          <t>合計</t>
        </is>
      </c>
      <c r="C48" s="19">
        <f>SUM(C39:C47)</f>
        <v/>
      </c>
      <c r="D48" s="19">
        <f>SUM(D39:D47)</f>
        <v/>
      </c>
      <c r="E48" s="19">
        <f>SUM(E39:E47)</f>
        <v/>
      </c>
      <c r="F48" s="19">
        <f>SUM(F39:F47)</f>
        <v/>
      </c>
      <c r="G48" s="19">
        <f>SUM(G39:G47)</f>
        <v/>
      </c>
      <c r="H48" s="16">
        <f>SUM(H39:H47)</f>
        <v/>
      </c>
      <c r="I48" s="6">
        <f>IF(D48&lt;&gt;D22,"※きっかけ未入力の申込者あり","")</f>
        <v/>
      </c>
      <c r="J48" s="25" t="n"/>
      <c r="K48" s="26" t="n"/>
    </row>
    <row r="49"/>
    <row r="50">
      <c r="A50" s="20" t="inlineStr">
        <is>
          <t>4. 収支（円・税込）</t>
        </is>
      </c>
      <c r="B50" s="21" t="n"/>
      <c r="C50" s="21" t="n"/>
      <c r="D50" s="21" t="n"/>
      <c r="E50" s="21" t="n"/>
      <c r="F50" s="31" t="inlineStr">
        <is>
          <t>計画は実施前の見込み。実績の会費・物販・ワイン仕入・広告費は自動集計</t>
        </is>
      </c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</row>
    <row r="51">
      <c r="A51" s="12" t="inlineStr"/>
      <c r="B51" s="12" t="inlineStr">
        <is>
          <t>項目</t>
        </is>
      </c>
      <c r="C51" s="12" t="inlineStr">
        <is>
          <t>計画（実施前）</t>
        </is>
      </c>
      <c r="D51" s="12" t="inlineStr">
        <is>
          <t>実績（実施後）</t>
        </is>
      </c>
      <c r="E51" s="12" t="inlineStr">
        <is>
          <t>差異</t>
        </is>
      </c>
      <c r="F51" s="12" t="inlineStr"/>
      <c r="G51" s="12" t="inlineStr">
        <is>
          <t>メモ</t>
        </is>
      </c>
      <c r="H51" s="25" t="n"/>
      <c r="I51" s="25" t="n"/>
      <c r="J51" s="25" t="n"/>
      <c r="K51" s="26" t="n"/>
    </row>
    <row r="52">
      <c r="B52" s="3" t="inlineStr">
        <is>
          <t>売上：会費収入</t>
        </is>
      </c>
      <c r="C52" s="15">
        <f>C23*C14</f>
        <v/>
      </c>
      <c r="D52" s="15">
        <f>SUM($M$112:$M$151)</f>
        <v/>
      </c>
      <c r="E52" s="15">
        <f>D52-C52</f>
        <v/>
      </c>
      <c r="F52" s="9" t="n"/>
      <c r="G52" s="5" t="n"/>
      <c r="H52" s="24" t="n"/>
      <c r="I52" s="24" t="n"/>
      <c r="J52" s="24" t="n"/>
      <c r="K52" s="24" t="n"/>
    </row>
    <row r="53">
      <c r="B53" s="3" t="inlineStr">
        <is>
          <t>売上：ワイン物販</t>
        </is>
      </c>
      <c r="C53" s="30" t="n"/>
      <c r="D53" s="15">
        <f>SUM($O$112:$O$151)</f>
        <v/>
      </c>
      <c r="E53" s="15">
        <f>D53-C53</f>
        <v/>
      </c>
      <c r="F53" s="9" t="n"/>
      <c r="G53" s="5" t="n"/>
      <c r="H53" s="24" t="n"/>
      <c r="I53" s="24" t="n"/>
      <c r="J53" s="24" t="n"/>
      <c r="K53" s="24" t="n"/>
    </row>
    <row r="54">
      <c r="B54" s="3" t="inlineStr">
        <is>
          <t>売上：その他</t>
        </is>
      </c>
      <c r="C54" s="30" t="n"/>
      <c r="D54" s="30" t="n"/>
      <c r="E54" s="15">
        <f>D54-C54</f>
        <v/>
      </c>
      <c r="F54" s="9" t="n"/>
      <c r="G54" s="5" t="n"/>
      <c r="H54" s="24" t="n"/>
      <c r="I54" s="24" t="n"/>
      <c r="J54" s="24" t="n"/>
      <c r="K54" s="24" t="n"/>
    </row>
    <row r="55">
      <c r="B55" s="18" t="inlineStr">
        <is>
          <t>売上 合計</t>
        </is>
      </c>
      <c r="C55" s="19">
        <f>SUM(C52:C54)</f>
        <v/>
      </c>
      <c r="D55" s="19">
        <f>SUM(D52:D54)</f>
        <v/>
      </c>
      <c r="E55" s="15">
        <f>D55-C55</f>
        <v/>
      </c>
      <c r="F55" s="9" t="n"/>
      <c r="G55" s="5" t="n"/>
      <c r="H55" s="24" t="n"/>
      <c r="I55" s="24" t="n"/>
      <c r="J55" s="24" t="n"/>
      <c r="K55" s="24" t="n"/>
    </row>
    <row r="56">
      <c r="B56" s="3" t="inlineStr">
        <is>
          <t>費用：ワイン仕入</t>
        </is>
      </c>
      <c r="C56" s="30" t="n"/>
      <c r="D56" s="15">
        <f>I89</f>
        <v/>
      </c>
      <c r="E56" s="15">
        <f>D56-C56</f>
        <v/>
      </c>
      <c r="F56" s="9" t="n"/>
      <c r="G56" s="5" t="n"/>
      <c r="H56" s="24" t="n"/>
      <c r="I56" s="24" t="n"/>
      <c r="J56" s="24" t="n"/>
      <c r="K56" s="24" t="n"/>
    </row>
    <row r="57">
      <c r="B57" s="3" t="inlineStr">
        <is>
          <t>費用：おつまみ・フード</t>
        </is>
      </c>
      <c r="C57" s="30" t="n"/>
      <c r="D57" s="30" t="n"/>
      <c r="E57" s="15">
        <f>D57-C57</f>
        <v/>
      </c>
      <c r="F57" s="9" t="n"/>
      <c r="G57" s="5" t="n"/>
      <c r="H57" s="24" t="n"/>
      <c r="I57" s="24" t="n"/>
      <c r="J57" s="24" t="n"/>
      <c r="K57" s="24" t="n"/>
    </row>
    <row r="58">
      <c r="B58" s="3" t="inlineStr">
        <is>
          <t>費用：会場費</t>
        </is>
      </c>
      <c r="C58" s="30" t="n"/>
      <c r="D58" s="30" t="n"/>
      <c r="E58" s="15">
        <f>D58-C58</f>
        <v/>
      </c>
      <c r="F58" s="9" t="n"/>
      <c r="G58" s="5" t="n"/>
      <c r="H58" s="24" t="n"/>
      <c r="I58" s="24" t="n"/>
      <c r="J58" s="24" t="n"/>
      <c r="K58" s="24" t="n"/>
    </row>
    <row r="59">
      <c r="B59" s="3" t="inlineStr">
        <is>
          <t>費用：広告費</t>
        </is>
      </c>
      <c r="C59" s="30" t="n"/>
      <c r="D59" s="15">
        <f>E75</f>
        <v/>
      </c>
      <c r="E59" s="15">
        <f>D59-C59</f>
        <v/>
      </c>
      <c r="F59" s="9" t="n"/>
      <c r="G59" s="5" t="n"/>
      <c r="H59" s="24" t="n"/>
      <c r="I59" s="24" t="n"/>
      <c r="J59" s="24" t="n"/>
      <c r="K59" s="24" t="n"/>
    </row>
    <row r="60">
      <c r="B60" s="3" t="inlineStr">
        <is>
          <t>費用：決済手数料</t>
        </is>
      </c>
      <c r="C60" s="30" t="n"/>
      <c r="D60" s="30" t="n"/>
      <c r="E60" s="15">
        <f>D60-C60</f>
        <v/>
      </c>
      <c r="F60" s="9" t="n"/>
      <c r="G60" s="5" t="n"/>
      <c r="H60" s="24" t="n"/>
      <c r="I60" s="24" t="n"/>
      <c r="J60" s="24" t="n"/>
      <c r="K60" s="24" t="n"/>
    </row>
    <row r="61">
      <c r="B61" s="3" t="inlineStr">
        <is>
          <t>費用：人件費・謝礼</t>
        </is>
      </c>
      <c r="C61" s="30" t="n"/>
      <c r="D61" s="30" t="n"/>
      <c r="E61" s="15">
        <f>D61-C61</f>
        <v/>
      </c>
      <c r="F61" s="9" t="n"/>
      <c r="G61" s="5" t="n"/>
      <c r="H61" s="24" t="n"/>
      <c r="I61" s="24" t="n"/>
      <c r="J61" s="24" t="n"/>
      <c r="K61" s="24" t="n"/>
    </row>
    <row r="62">
      <c r="B62" s="3" t="inlineStr">
        <is>
          <t>費用：備品・印刷・消耗品</t>
        </is>
      </c>
      <c r="C62" s="30" t="n"/>
      <c r="D62" s="30" t="n"/>
      <c r="E62" s="15">
        <f>D62-C62</f>
        <v/>
      </c>
      <c r="F62" s="9" t="n"/>
      <c r="G62" s="5" t="n"/>
      <c r="H62" s="24" t="n"/>
      <c r="I62" s="24" t="n"/>
      <c r="J62" s="24" t="n"/>
      <c r="K62" s="24" t="n"/>
    </row>
    <row r="63">
      <c r="B63" s="3" t="inlineStr">
        <is>
          <t>費用：その他</t>
        </is>
      </c>
      <c r="C63" s="30" t="n"/>
      <c r="D63" s="30" t="n"/>
      <c r="E63" s="15">
        <f>D63-C63</f>
        <v/>
      </c>
      <c r="F63" s="9" t="n"/>
      <c r="G63" s="5" t="n"/>
      <c r="H63" s="24" t="n"/>
      <c r="I63" s="24" t="n"/>
      <c r="J63" s="24" t="n"/>
      <c r="K63" s="24" t="n"/>
    </row>
    <row r="64">
      <c r="B64" s="18" t="inlineStr">
        <is>
          <t>費用 合計</t>
        </is>
      </c>
      <c r="C64" s="19">
        <f>SUM(C56:C63)</f>
        <v/>
      </c>
      <c r="D64" s="19">
        <f>SUM(D56:D63)</f>
        <v/>
      </c>
      <c r="E64" s="15">
        <f>D64-C64</f>
        <v/>
      </c>
      <c r="F64" s="9" t="n"/>
      <c r="G64" s="5" t="n"/>
      <c r="H64" s="24" t="n"/>
      <c r="I64" s="24" t="n"/>
      <c r="J64" s="24" t="n"/>
      <c r="K64" s="24" t="n"/>
    </row>
    <row r="65">
      <c r="B65" s="18" t="inlineStr">
        <is>
          <t>粗利（売上−費用）</t>
        </is>
      </c>
      <c r="C65" s="19">
        <f>C55-C64</f>
        <v/>
      </c>
      <c r="D65" s="19">
        <f>D55-D64</f>
        <v/>
      </c>
      <c r="E65" s="15">
        <f>D65-C65</f>
        <v/>
      </c>
      <c r="F65" s="9" t="n"/>
      <c r="G65" s="5" t="n"/>
      <c r="H65" s="24" t="n"/>
      <c r="I65" s="24" t="n"/>
      <c r="J65" s="24" t="n"/>
      <c r="K65" s="24" t="n"/>
    </row>
    <row r="66">
      <c r="B66" s="18" t="inlineStr">
        <is>
          <t>粗利率</t>
        </is>
      </c>
      <c r="C66" s="16">
        <f>IFERROR(C65/C55,0)</f>
        <v/>
      </c>
      <c r="D66" s="16">
        <f>IFERROR(D65/D55,0)</f>
        <v/>
      </c>
      <c r="E66" s="6">
        <f>""</f>
        <v/>
      </c>
      <c r="F66" s="9" t="n"/>
      <c r="G66" s="5" t="n"/>
      <c r="H66" s="24" t="n"/>
      <c r="I66" s="24" t="n"/>
      <c r="J66" s="24" t="n"/>
      <c r="K66" s="24" t="n"/>
    </row>
    <row r="67">
      <c r="B67" s="18" t="inlineStr">
        <is>
          <t>広告CPA（広告費÷広告経由参加者）</t>
        </is>
      </c>
      <c r="C67" s="30" t="n"/>
      <c r="D67" s="15">
        <f>IFERROR(D59/E40,0)</f>
        <v/>
      </c>
      <c r="E67" s="15">
        <f>D67-C67</f>
        <v/>
      </c>
      <c r="F67" s="9" t="n"/>
      <c r="G67" s="5" t="n"/>
      <c r="H67" s="24" t="n"/>
      <c r="I67" s="24" t="n"/>
      <c r="J67" s="24" t="n"/>
      <c r="K67" s="24" t="n"/>
    </row>
    <row r="68"/>
    <row r="69">
      <c r="A69" s="20" t="inlineStr">
        <is>
          <t>5. 広告実績（Meta広告など）</t>
        </is>
      </c>
      <c r="B69" s="21" t="n"/>
      <c r="C69" s="21" t="n"/>
      <c r="D69" s="21" t="n"/>
      <c r="E69" s="21" t="n"/>
      <c r="F69" s="31" t="inlineStr">
        <is>
          <t>広告を出さない回は空欄のままでよい。記録の残し方はMeta広告ガイド9-5</t>
        </is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s="12" t="inlineStr"/>
      <c r="B70" s="12" t="inlineStr">
        <is>
          <t>広告セット</t>
        </is>
      </c>
      <c r="C70" s="12" t="inlineStr">
        <is>
          <t>配信期間</t>
        </is>
      </c>
      <c r="D70" s="12" t="inlineStr">
        <is>
          <t>予算（円）</t>
        </is>
      </c>
      <c r="E70" s="12" t="inlineStr">
        <is>
          <t>消化額（円）</t>
        </is>
      </c>
      <c r="F70" s="12" t="inlineStr">
        <is>
          <t>リード数</t>
        </is>
      </c>
      <c r="G70" s="12" t="inlineStr">
        <is>
          <t>CPL（円）</t>
        </is>
      </c>
      <c r="H70" s="12" t="inlineStr">
        <is>
          <t>広告経由参加</t>
        </is>
      </c>
      <c r="I70" s="12" t="inlineStr">
        <is>
          <t>CPA（円）</t>
        </is>
      </c>
      <c r="J70" s="12" t="inlineStr">
        <is>
          <t>メモ</t>
        </is>
      </c>
      <c r="K70" s="26" t="n"/>
    </row>
    <row r="71">
      <c r="B71" s="5" t="n"/>
      <c r="C71" s="5" t="n"/>
      <c r="D71" s="30" t="n"/>
      <c r="E71" s="30" t="n"/>
      <c r="F71" s="30" t="n"/>
      <c r="G71" s="15">
        <f>IFERROR(E71/F71,0)</f>
        <v/>
      </c>
      <c r="H71" s="30" t="n"/>
      <c r="I71" s="15">
        <f>IFERROR(E71/H71,0)</f>
        <v/>
      </c>
      <c r="J71" s="5" t="n"/>
      <c r="K71" s="24" t="n"/>
    </row>
    <row r="72">
      <c r="B72" s="5" t="n"/>
      <c r="C72" s="5" t="n"/>
      <c r="D72" s="30" t="n"/>
      <c r="E72" s="30" t="n"/>
      <c r="F72" s="30" t="n"/>
      <c r="G72" s="15">
        <f>IFERROR(E72/F72,0)</f>
        <v/>
      </c>
      <c r="H72" s="30" t="n"/>
      <c r="I72" s="15">
        <f>IFERROR(E72/H72,0)</f>
        <v/>
      </c>
      <c r="J72" s="5" t="n"/>
      <c r="K72" s="24" t="n"/>
    </row>
    <row r="73">
      <c r="B73" s="5" t="n"/>
      <c r="C73" s="5" t="n"/>
      <c r="D73" s="30" t="n"/>
      <c r="E73" s="30" t="n"/>
      <c r="F73" s="30" t="n"/>
      <c r="G73" s="15">
        <f>IFERROR(E73/F73,0)</f>
        <v/>
      </c>
      <c r="H73" s="30" t="n"/>
      <c r="I73" s="15">
        <f>IFERROR(E73/H73,0)</f>
        <v/>
      </c>
      <c r="J73" s="5" t="n"/>
      <c r="K73" s="24" t="n"/>
    </row>
    <row r="74">
      <c r="B74" s="5" t="n"/>
      <c r="C74" s="5" t="n"/>
      <c r="D74" s="30" t="n"/>
      <c r="E74" s="30" t="n"/>
      <c r="F74" s="30" t="n"/>
      <c r="G74" s="15">
        <f>IFERROR(E74/F74,0)</f>
        <v/>
      </c>
      <c r="H74" s="30" t="n"/>
      <c r="I74" s="15">
        <f>IFERROR(E74/H74,0)</f>
        <v/>
      </c>
      <c r="J74" s="5" t="n"/>
      <c r="K74" s="24" t="n"/>
    </row>
    <row r="75">
      <c r="B75" s="18" t="inlineStr">
        <is>
          <t>合計</t>
        </is>
      </c>
      <c r="C75" s="6">
        <f>""</f>
        <v/>
      </c>
      <c r="D75" s="15">
        <f>SUM(D71:D74)</f>
        <v/>
      </c>
      <c r="E75" s="15">
        <f>SUM(E71:E74)</f>
        <v/>
      </c>
      <c r="F75" s="15">
        <f>SUM(F71:F74)</f>
        <v/>
      </c>
      <c r="G75" s="15">
        <f>IFERROR(E75/F75,0)</f>
        <v/>
      </c>
      <c r="H75" s="15">
        <f>SUM(H71:H74)</f>
        <v/>
      </c>
      <c r="I75" s="15">
        <f>IFERROR(E75/H75,0)</f>
        <v/>
      </c>
    </row>
    <row r="76"/>
    <row r="77">
      <c r="A77" s="20" t="inlineStr">
        <is>
          <t>6. 提供ワイン</t>
        </is>
      </c>
      <c r="B77" s="21" t="n"/>
      <c r="C77" s="21" t="n"/>
      <c r="D77" s="21" t="n"/>
      <c r="E77" s="21" t="n"/>
      <c r="F77" s="31" t="inlineStr">
        <is>
          <t>参加者の反応が良かった銘柄は次回・物販の判断材料にする</t>
        </is>
      </c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</row>
    <row r="78">
      <c r="A78" s="12" t="inlineStr">
        <is>
          <t>No</t>
        </is>
      </c>
      <c r="B78" s="12" t="inlineStr">
        <is>
          <t>銘柄</t>
        </is>
      </c>
      <c r="C78" s="12" t="inlineStr">
        <is>
          <t>生産者</t>
        </is>
      </c>
      <c r="D78" s="12" t="inlineStr">
        <is>
          <t>産地</t>
        </is>
      </c>
      <c r="E78" s="12" t="inlineStr">
        <is>
          <t>品種</t>
        </is>
      </c>
      <c r="F78" s="12" t="inlineStr">
        <is>
          <t>タイプ</t>
        </is>
      </c>
      <c r="G78" s="12" t="inlineStr">
        <is>
          <t>仕入単価（円）</t>
        </is>
      </c>
      <c r="H78" s="12" t="inlineStr">
        <is>
          <t>本数</t>
        </is>
      </c>
      <c r="I78" s="12" t="inlineStr">
        <is>
          <t>小計（円）</t>
        </is>
      </c>
      <c r="J78" s="12" t="inlineStr">
        <is>
          <t>反応・評価メモ</t>
        </is>
      </c>
      <c r="K78" s="26" t="n"/>
    </row>
    <row r="79">
      <c r="A79" s="34" t="n">
        <v>1</v>
      </c>
      <c r="B79" s="5" t="inlineStr">
        <is>
          <t>プレミアム フルミント</t>
        </is>
      </c>
      <c r="C79" s="5" t="inlineStr">
        <is>
          <t>Steigler</t>
        </is>
      </c>
      <c r="D79" s="5" t="inlineStr">
        <is>
          <t>Sopron</t>
        </is>
      </c>
      <c r="E79" s="5" t="n"/>
      <c r="F79" s="5" t="inlineStr">
        <is>
          <t>白</t>
        </is>
      </c>
      <c r="G79" s="30" t="n"/>
      <c r="H79" s="30" t="n"/>
      <c r="I79" s="15">
        <f>G79*H79</f>
        <v/>
      </c>
      <c r="J79" s="5" t="n"/>
      <c r="K79" s="24" t="n"/>
    </row>
    <row r="80">
      <c r="A80" s="34" t="n">
        <v>2</v>
      </c>
      <c r="B80" s="5" t="inlineStr">
        <is>
          <t>エリジウム</t>
        </is>
      </c>
      <c r="C80" s="5" t="inlineStr">
        <is>
          <t>Steigler</t>
        </is>
      </c>
      <c r="D80" s="5" t="inlineStr">
        <is>
          <t>Hungary</t>
        </is>
      </c>
      <c r="E80" s="5" t="n"/>
      <c r="F80" s="5" t="inlineStr">
        <is>
          <t>赤</t>
        </is>
      </c>
      <c r="G80" s="30" t="n"/>
      <c r="H80" s="30" t="n"/>
      <c r="I80" s="15">
        <f>G80*H80</f>
        <v/>
      </c>
      <c r="J80" s="5" t="n"/>
      <c r="K80" s="24" t="n"/>
    </row>
    <row r="81">
      <c r="A81" s="34" t="n">
        <v>3</v>
      </c>
      <c r="B81" s="5" t="inlineStr">
        <is>
          <t>トゥラン</t>
        </is>
      </c>
      <c r="C81" s="5" t="inlineStr">
        <is>
          <t>カローイムレ</t>
        </is>
      </c>
      <c r="D81" s="5" t="inlineStr">
        <is>
          <t>Hungary</t>
        </is>
      </c>
      <c r="E81" s="5" t="n"/>
      <c r="F81" s="5" t="inlineStr">
        <is>
          <t>赤</t>
        </is>
      </c>
      <c r="G81" s="30" t="n"/>
      <c r="H81" s="30" t="n"/>
      <c r="I81" s="15">
        <f>G81*H81</f>
        <v/>
      </c>
      <c r="J81" s="5" t="n"/>
      <c r="K81" s="24" t="n"/>
    </row>
    <row r="82">
      <c r="A82" s="34" t="n">
        <v>4</v>
      </c>
      <c r="B82" s="5" t="inlineStr">
        <is>
          <t>プレステージ ブリュット</t>
        </is>
      </c>
      <c r="C82" s="5" t="inlineStr">
        <is>
          <t>KREINBACHER</t>
        </is>
      </c>
      <c r="D82" s="5" t="inlineStr">
        <is>
          <t>Somló</t>
        </is>
      </c>
      <c r="E82" s="5" t="n"/>
      <c r="F82" s="5" t="inlineStr">
        <is>
          <t>スパークリング</t>
        </is>
      </c>
      <c r="G82" s="30" t="n"/>
      <c r="H82" s="30" t="n"/>
      <c r="I82" s="15">
        <f>G82*H82</f>
        <v/>
      </c>
      <c r="J82" s="5" t="n"/>
      <c r="K82" s="24" t="n"/>
    </row>
    <row r="83">
      <c r="A83" s="34" t="n">
        <v>5</v>
      </c>
      <c r="B83" s="5" t="inlineStr">
        <is>
          <t>ハールシュレベリュー</t>
        </is>
      </c>
      <c r="C83" s="5" t="inlineStr">
        <is>
          <t>Steigler</t>
        </is>
      </c>
      <c r="D83" s="5" t="inlineStr">
        <is>
          <t>Hungary</t>
        </is>
      </c>
      <c r="E83" s="5" t="n"/>
      <c r="F83" s="5" t="inlineStr">
        <is>
          <t>白</t>
        </is>
      </c>
      <c r="G83" s="30" t="n"/>
      <c r="H83" s="30" t="n"/>
      <c r="I83" s="15">
        <f>G83*H83</f>
        <v/>
      </c>
      <c r="J83" s="5" t="n"/>
      <c r="K83" s="24" t="n"/>
    </row>
    <row r="84">
      <c r="A84" s="34" t="n">
        <v>6</v>
      </c>
      <c r="B84" s="5" t="inlineStr">
        <is>
          <t>トカイアスー 6プットニョシュ 2018</t>
        </is>
      </c>
      <c r="C84" s="5" t="inlineStr">
        <is>
          <t>Gotz</t>
        </is>
      </c>
      <c r="D84" s="5" t="inlineStr">
        <is>
          <t>Tokaj</t>
        </is>
      </c>
      <c r="E84" s="5" t="n"/>
      <c r="F84" s="5" t="inlineStr">
        <is>
          <t>甘口・貴腐</t>
        </is>
      </c>
      <c r="G84" s="30" t="n"/>
      <c r="H84" s="30" t="n"/>
      <c r="I84" s="15">
        <f>G84*H84</f>
        <v/>
      </c>
      <c r="J84" s="5" t="n"/>
      <c r="K84" s="24" t="n"/>
    </row>
    <row r="85">
      <c r="A85" s="34" t="n">
        <v>7</v>
      </c>
      <c r="B85" s="5" t="inlineStr">
        <is>
          <t>ライナイリーズリング</t>
        </is>
      </c>
      <c r="C85" s="5" t="inlineStr">
        <is>
          <t>タクレル</t>
        </is>
      </c>
      <c r="D85" s="5" t="inlineStr">
        <is>
          <t>Hungary</t>
        </is>
      </c>
      <c r="E85" s="5" t="n"/>
      <c r="F85" s="5" t="inlineStr">
        <is>
          <t>白</t>
        </is>
      </c>
      <c r="G85" s="30" t="n"/>
      <c r="H85" s="30" t="n"/>
      <c r="I85" s="15">
        <f>G85*H85</f>
        <v/>
      </c>
      <c r="J85" s="5" t="n"/>
      <c r="K85" s="24" t="n"/>
    </row>
    <row r="86">
      <c r="A86" s="34" t="n">
        <v>8</v>
      </c>
      <c r="B86" s="5" t="n"/>
      <c r="C86" s="5" t="n"/>
      <c r="D86" s="5" t="n"/>
      <c r="E86" s="5" t="n"/>
      <c r="F86" s="5" t="n"/>
      <c r="G86" s="30" t="n"/>
      <c r="H86" s="30" t="n"/>
      <c r="I86" s="15">
        <f>G86*H86</f>
        <v/>
      </c>
      <c r="J86" s="5" t="n"/>
      <c r="K86" s="24" t="n"/>
    </row>
    <row r="87">
      <c r="A87" s="34" t="n">
        <v>9</v>
      </c>
      <c r="B87" s="5" t="n"/>
      <c r="C87" s="5" t="n"/>
      <c r="D87" s="5" t="n"/>
      <c r="E87" s="5" t="n"/>
      <c r="F87" s="5" t="n"/>
      <c r="G87" s="30" t="n"/>
      <c r="H87" s="30" t="n"/>
      <c r="I87" s="15">
        <f>G87*H87</f>
        <v/>
      </c>
      <c r="J87" s="5" t="n"/>
      <c r="K87" s="24" t="n"/>
    </row>
    <row r="88">
      <c r="A88" s="34" t="n">
        <v>10</v>
      </c>
      <c r="B88" s="5" t="n"/>
      <c r="C88" s="5" t="n"/>
      <c r="D88" s="5" t="n"/>
      <c r="E88" s="5" t="n"/>
      <c r="F88" s="5" t="n"/>
      <c r="G88" s="30" t="n"/>
      <c r="H88" s="30" t="n"/>
      <c r="I88" s="15">
        <f>G88*H88</f>
        <v/>
      </c>
      <c r="J88" s="5" t="n"/>
      <c r="K88" s="24" t="n"/>
    </row>
    <row r="89">
      <c r="B89" s="18" t="inlineStr">
        <is>
          <t>合計</t>
        </is>
      </c>
      <c r="H89" s="15">
        <f>SUM(H79:H88)</f>
        <v/>
      </c>
      <c r="I89" s="15">
        <f>SUM(I79:I88)</f>
        <v/>
      </c>
    </row>
    <row r="90"/>
    <row r="91">
      <c r="A91" s="20" t="inlineStr">
        <is>
          <t>7. 当日の流れ（タイムテーブル）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s="12" t="inlineStr"/>
      <c r="B92" s="12" t="inlineStr">
        <is>
          <t>時刻</t>
        </is>
      </c>
      <c r="C92" s="12" t="inlineStr">
        <is>
          <t>内容</t>
        </is>
      </c>
      <c r="D92" s="25" t="n"/>
      <c r="E92" s="25" t="n"/>
      <c r="F92" s="26" t="n"/>
      <c r="G92" s="12" t="inlineStr">
        <is>
          <t>担当</t>
        </is>
      </c>
      <c r="H92" s="12" t="inlineStr">
        <is>
          <t>実際の進行・メモ</t>
        </is>
      </c>
      <c r="I92" s="25" t="n"/>
      <c r="J92" s="25" t="n"/>
      <c r="K92" s="26" t="n"/>
    </row>
    <row r="93">
      <c r="B93" s="29" t="n">
        <v>0.7708333333333334</v>
      </c>
      <c r="C93" s="5" t="inlineStr">
        <is>
          <t>開場・ウェルカムドリンク</t>
        </is>
      </c>
      <c r="D93" s="24" t="n"/>
      <c r="E93" s="24" t="n"/>
      <c r="F93" s="24" t="n"/>
      <c r="G93" s="5" t="n"/>
      <c r="H93" s="5" t="n"/>
      <c r="I93" s="24" t="n"/>
      <c r="J93" s="24" t="n"/>
      <c r="K93" s="24" t="n"/>
    </row>
    <row r="94">
      <c r="B94" s="29" t="n">
        <v>0.78125</v>
      </c>
      <c r="C94" s="5" t="inlineStr">
        <is>
          <t>主催挨拶・ハンガリーワイン解説</t>
        </is>
      </c>
      <c r="D94" s="24" t="n"/>
      <c r="E94" s="24" t="n"/>
      <c r="F94" s="24" t="n"/>
      <c r="G94" s="5" t="n"/>
      <c r="H94" s="5" t="n"/>
      <c r="I94" s="24" t="n"/>
      <c r="J94" s="24" t="n"/>
      <c r="K94" s="24" t="n"/>
    </row>
    <row r="95">
      <c r="B95" s="29" t="n">
        <v>0.7916666666666666</v>
      </c>
      <c r="C95" s="5" t="inlineStr">
        <is>
          <t>テイスティング &amp; 食事・自由対話</t>
        </is>
      </c>
      <c r="D95" s="24" t="n"/>
      <c r="E95" s="24" t="n"/>
      <c r="F95" s="24" t="n"/>
      <c r="G95" s="5" t="n"/>
      <c r="H95" s="5" t="n"/>
      <c r="I95" s="24" t="n"/>
      <c r="J95" s="24" t="n"/>
      <c r="K95" s="24" t="n"/>
    </row>
    <row r="96">
      <c r="B96" s="29" t="n">
        <v>0.8541666666666666</v>
      </c>
      <c r="C96" s="5" t="inlineStr">
        <is>
          <t>閉会</t>
        </is>
      </c>
      <c r="D96" s="24" t="n"/>
      <c r="E96" s="24" t="n"/>
      <c r="F96" s="24" t="n"/>
      <c r="G96" s="5" t="n"/>
      <c r="H96" s="5" t="n"/>
      <c r="I96" s="24" t="n"/>
      <c r="J96" s="24" t="n"/>
      <c r="K96" s="24" t="n"/>
    </row>
    <row r="97">
      <c r="B97" s="29" t="n">
        <v>0.875</v>
      </c>
      <c r="C97" s="5" t="inlineStr">
        <is>
          <t>完全撤収</t>
        </is>
      </c>
      <c r="D97" s="24" t="n"/>
      <c r="E97" s="24" t="n"/>
      <c r="F97" s="24" t="n"/>
      <c r="G97" s="5" t="n"/>
      <c r="H97" s="5" t="n"/>
      <c r="I97" s="24" t="n"/>
      <c r="J97" s="24" t="n"/>
      <c r="K97" s="24" t="n"/>
    </row>
    <row r="98">
      <c r="B98" s="29" t="n"/>
      <c r="C98" s="5" t="n"/>
      <c r="D98" s="24" t="n"/>
      <c r="E98" s="24" t="n"/>
      <c r="F98" s="24" t="n"/>
      <c r="G98" s="5" t="n"/>
      <c r="H98" s="5" t="n"/>
      <c r="I98" s="24" t="n"/>
      <c r="J98" s="24" t="n"/>
      <c r="K98" s="24" t="n"/>
    </row>
    <row r="99">
      <c r="B99" s="29" t="n"/>
      <c r="C99" s="5" t="n"/>
      <c r="D99" s="24" t="n"/>
      <c r="E99" s="24" t="n"/>
      <c r="F99" s="24" t="n"/>
      <c r="G99" s="5" t="n"/>
      <c r="H99" s="5" t="n"/>
      <c r="I99" s="24" t="n"/>
      <c r="J99" s="24" t="n"/>
      <c r="K99" s="24" t="n"/>
    </row>
    <row r="100">
      <c r="B100" s="29" t="n"/>
      <c r="C100" s="5" t="n"/>
      <c r="D100" s="24" t="n"/>
      <c r="E100" s="24" t="n"/>
      <c r="F100" s="24" t="n"/>
      <c r="G100" s="5" t="n"/>
      <c r="H100" s="5" t="n"/>
      <c r="I100" s="24" t="n"/>
      <c r="J100" s="24" t="n"/>
      <c r="K100" s="24" t="n"/>
    </row>
    <row r="101"/>
    <row r="102">
      <c r="A102" s="20" t="inlineStr">
        <is>
          <t>8. 振り返り（実施後）</t>
        </is>
      </c>
      <c r="B102" s="21" t="n"/>
      <c r="C102" s="21" t="n"/>
      <c r="D102" s="21" t="n"/>
      <c r="E102" s="21" t="n"/>
      <c r="F102" s="31" t="inlineStr">
        <is>
          <t>開催後3日以内に記入 → 責任者が翌回の方針を判断</t>
        </is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</row>
    <row r="103" ht="48" customHeight="1">
      <c r="B103" s="18" t="inlineStr">
        <is>
          <t>良かった点</t>
        </is>
      </c>
      <c r="C103" s="35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 ht="48" customHeight="1">
      <c r="B104" s="18" t="inlineStr">
        <is>
          <t>課題・トラブル</t>
        </is>
      </c>
      <c r="C104" s="35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 ht="48" customHeight="1">
      <c r="B105" s="18" t="inlineStr">
        <is>
          <t>参加者の声（アンケート・会話から）</t>
        </is>
      </c>
      <c r="C105" s="35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 ht="48" customHeight="1">
      <c r="B106" s="18" t="inlineStr">
        <is>
          <t>集客の振り返り（どの階層で詰まったか）</t>
        </is>
      </c>
      <c r="C106" s="35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 ht="48" customHeight="1">
      <c r="B107" s="18" t="inlineStr">
        <is>
          <t>次回の改善アクション（3つまで）</t>
        </is>
      </c>
      <c r="C107" s="35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 ht="48" customHeight="1">
      <c r="B108" s="18" t="inlineStr">
        <is>
          <t>責任者の判断・次回方針</t>
        </is>
      </c>
      <c r="C108" s="35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/>
    <row r="110">
      <c r="A110" s="20" t="inlineStr">
        <is>
          <t>9. 参加者リスト</t>
        </is>
      </c>
      <c r="B110" s="21" t="n"/>
      <c r="C110" s="21" t="n"/>
      <c r="D110" s="21" t="n"/>
      <c r="E110" s="21" t="n"/>
      <c r="F110" s="31" t="inlineStr">
        <is>
          <t>個人情報を含むため、記入済みファイルはGitHubに置かず、閲覧権限を絞ったGoogleドライブで管理</t>
        </is>
      </c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</row>
    <row r="111" ht="32" customHeight="1">
      <c r="A111" s="12" t="inlineStr">
        <is>
          <t>No</t>
        </is>
      </c>
      <c r="B111" s="12" t="inlineStr">
        <is>
          <t>氏名</t>
        </is>
      </c>
      <c r="C111" s="12" t="inlineStr">
        <is>
          <t>フリガナ</t>
        </is>
      </c>
      <c r="D111" s="12" t="inlineStr">
        <is>
          <t>性別</t>
        </is>
      </c>
      <c r="E111" s="12" t="inlineStr">
        <is>
          <t>年代</t>
        </is>
      </c>
      <c r="F111" s="12" t="inlineStr">
        <is>
          <t>会社・所属</t>
        </is>
      </c>
      <c r="G111" s="12" t="inlineStr">
        <is>
          <t>役職</t>
        </is>
      </c>
      <c r="H111" s="12" t="inlineStr">
        <is>
          <t>新規/リピート</t>
        </is>
      </c>
      <c r="I111" s="12" t="inlineStr">
        <is>
          <t>知ったきっかけ</t>
        </is>
      </c>
      <c r="J111" s="12" t="inlineStr">
        <is>
          <t>申込日</t>
        </is>
      </c>
      <c r="K111" s="12" t="inlineStr">
        <is>
          <t>決済方法</t>
        </is>
      </c>
      <c r="L111" s="12" t="inlineStr">
        <is>
          <t>ステータス</t>
        </is>
      </c>
      <c r="M111" s="12" t="inlineStr">
        <is>
          <t>会費受領額（円）</t>
        </is>
      </c>
      <c r="N111" s="12" t="inlineStr">
        <is>
          <t>入金確認</t>
        </is>
      </c>
      <c r="O111" s="12" t="inlineStr">
        <is>
          <t>物販購入額（円）</t>
        </is>
      </c>
      <c r="P111" s="12" t="inlineStr">
        <is>
          <t>写真掲載</t>
        </is>
      </c>
      <c r="Q111" s="12" t="inlineStr">
        <is>
          <t>満足度（1-5）</t>
        </is>
      </c>
      <c r="R111" s="12" t="inlineStr">
        <is>
          <t>次回参加意向</t>
        </is>
      </c>
      <c r="S111" s="12" t="inlineStr">
        <is>
          <t>備考（アレルギー・領収書宛名など）</t>
        </is>
      </c>
    </row>
    <row r="112">
      <c r="A112" s="34" t="n">
        <v>1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7" t="n"/>
      <c r="K112" s="5" t="n"/>
      <c r="L112" s="5" t="n"/>
      <c r="M112" s="30" t="n"/>
      <c r="N112" s="5" t="n"/>
      <c r="O112" s="30" t="n"/>
      <c r="P112" s="5" t="n"/>
      <c r="Q112" s="30" t="n"/>
      <c r="R112" s="5" t="n"/>
      <c r="S112" s="5" t="n"/>
    </row>
    <row r="113">
      <c r="A113" s="34" t="n">
        <v>2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7" t="n"/>
      <c r="K113" s="5" t="n"/>
      <c r="L113" s="5" t="n"/>
      <c r="M113" s="30" t="n"/>
      <c r="N113" s="5" t="n"/>
      <c r="O113" s="30" t="n"/>
      <c r="P113" s="5" t="n"/>
      <c r="Q113" s="30" t="n"/>
      <c r="R113" s="5" t="n"/>
      <c r="S113" s="5" t="n"/>
    </row>
    <row r="114">
      <c r="A114" s="34" t="n">
        <v>3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7" t="n"/>
      <c r="K114" s="5" t="n"/>
      <c r="L114" s="5" t="n"/>
      <c r="M114" s="30" t="n"/>
      <c r="N114" s="5" t="n"/>
      <c r="O114" s="30" t="n"/>
      <c r="P114" s="5" t="n"/>
      <c r="Q114" s="30" t="n"/>
      <c r="R114" s="5" t="n"/>
      <c r="S114" s="5" t="n"/>
    </row>
    <row r="115">
      <c r="A115" s="34" t="n">
        <v>4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7" t="n"/>
      <c r="K115" s="5" t="n"/>
      <c r="L115" s="5" t="n"/>
      <c r="M115" s="30" t="n"/>
      <c r="N115" s="5" t="n"/>
      <c r="O115" s="30" t="n"/>
      <c r="P115" s="5" t="n"/>
      <c r="Q115" s="30" t="n"/>
      <c r="R115" s="5" t="n"/>
      <c r="S115" s="5" t="n"/>
    </row>
    <row r="116">
      <c r="A116" s="34" t="n">
        <v>5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7" t="n"/>
      <c r="K116" s="5" t="n"/>
      <c r="L116" s="5" t="n"/>
      <c r="M116" s="30" t="n"/>
      <c r="N116" s="5" t="n"/>
      <c r="O116" s="30" t="n"/>
      <c r="P116" s="5" t="n"/>
      <c r="Q116" s="30" t="n"/>
      <c r="R116" s="5" t="n"/>
      <c r="S116" s="5" t="n"/>
    </row>
    <row r="117">
      <c r="A117" s="34" t="n">
        <v>6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7" t="n"/>
      <c r="K117" s="5" t="n"/>
      <c r="L117" s="5" t="n"/>
      <c r="M117" s="30" t="n"/>
      <c r="N117" s="5" t="n"/>
      <c r="O117" s="30" t="n"/>
      <c r="P117" s="5" t="n"/>
      <c r="Q117" s="30" t="n"/>
      <c r="R117" s="5" t="n"/>
      <c r="S117" s="5" t="n"/>
    </row>
    <row r="118">
      <c r="A118" s="34" t="n">
        <v>7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7" t="n"/>
      <c r="K118" s="5" t="n"/>
      <c r="L118" s="5" t="n"/>
      <c r="M118" s="30" t="n"/>
      <c r="N118" s="5" t="n"/>
      <c r="O118" s="30" t="n"/>
      <c r="P118" s="5" t="n"/>
      <c r="Q118" s="30" t="n"/>
      <c r="R118" s="5" t="n"/>
      <c r="S118" s="5" t="n"/>
    </row>
    <row r="119">
      <c r="A119" s="34" t="n">
        <v>8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7" t="n"/>
      <c r="K119" s="5" t="n"/>
      <c r="L119" s="5" t="n"/>
      <c r="M119" s="30" t="n"/>
      <c r="N119" s="5" t="n"/>
      <c r="O119" s="30" t="n"/>
      <c r="P119" s="5" t="n"/>
      <c r="Q119" s="30" t="n"/>
      <c r="R119" s="5" t="n"/>
      <c r="S119" s="5" t="n"/>
    </row>
    <row r="120">
      <c r="A120" s="34" t="n">
        <v>9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7" t="n"/>
      <c r="K120" s="5" t="n"/>
      <c r="L120" s="5" t="n"/>
      <c r="M120" s="30" t="n"/>
      <c r="N120" s="5" t="n"/>
      <c r="O120" s="30" t="n"/>
      <c r="P120" s="5" t="n"/>
      <c r="Q120" s="30" t="n"/>
      <c r="R120" s="5" t="n"/>
      <c r="S120" s="5" t="n"/>
    </row>
    <row r="121">
      <c r="A121" s="34" t="n">
        <v>10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7" t="n"/>
      <c r="K121" s="5" t="n"/>
      <c r="L121" s="5" t="n"/>
      <c r="M121" s="30" t="n"/>
      <c r="N121" s="5" t="n"/>
      <c r="O121" s="30" t="n"/>
      <c r="P121" s="5" t="n"/>
      <c r="Q121" s="30" t="n"/>
      <c r="R121" s="5" t="n"/>
      <c r="S121" s="5" t="n"/>
    </row>
    <row r="122">
      <c r="A122" s="34" t="n">
        <v>11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7" t="n"/>
      <c r="K122" s="5" t="n"/>
      <c r="L122" s="5" t="n"/>
      <c r="M122" s="30" t="n"/>
      <c r="N122" s="5" t="n"/>
      <c r="O122" s="30" t="n"/>
      <c r="P122" s="5" t="n"/>
      <c r="Q122" s="30" t="n"/>
      <c r="R122" s="5" t="n"/>
      <c r="S122" s="5" t="n"/>
    </row>
    <row r="123">
      <c r="A123" s="34" t="n">
        <v>12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7" t="n"/>
      <c r="K123" s="5" t="n"/>
      <c r="L123" s="5" t="n"/>
      <c r="M123" s="30" t="n"/>
      <c r="N123" s="5" t="n"/>
      <c r="O123" s="30" t="n"/>
      <c r="P123" s="5" t="n"/>
      <c r="Q123" s="30" t="n"/>
      <c r="R123" s="5" t="n"/>
      <c r="S123" s="5" t="n"/>
    </row>
    <row r="124">
      <c r="A124" s="34" t="n">
        <v>13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7" t="n"/>
      <c r="K124" s="5" t="n"/>
      <c r="L124" s="5" t="n"/>
      <c r="M124" s="30" t="n"/>
      <c r="N124" s="5" t="n"/>
      <c r="O124" s="30" t="n"/>
      <c r="P124" s="5" t="n"/>
      <c r="Q124" s="30" t="n"/>
      <c r="R124" s="5" t="n"/>
      <c r="S124" s="5" t="n"/>
    </row>
    <row r="125">
      <c r="A125" s="34" t="n">
        <v>14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7" t="n"/>
      <c r="K125" s="5" t="n"/>
      <c r="L125" s="5" t="n"/>
      <c r="M125" s="30" t="n"/>
      <c r="N125" s="5" t="n"/>
      <c r="O125" s="30" t="n"/>
      <c r="P125" s="5" t="n"/>
      <c r="Q125" s="30" t="n"/>
      <c r="R125" s="5" t="n"/>
      <c r="S125" s="5" t="n"/>
    </row>
    <row r="126">
      <c r="A126" s="34" t="n">
        <v>15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7" t="n"/>
      <c r="K126" s="5" t="n"/>
      <c r="L126" s="5" t="n"/>
      <c r="M126" s="30" t="n"/>
      <c r="N126" s="5" t="n"/>
      <c r="O126" s="30" t="n"/>
      <c r="P126" s="5" t="n"/>
      <c r="Q126" s="30" t="n"/>
      <c r="R126" s="5" t="n"/>
      <c r="S126" s="5" t="n"/>
    </row>
    <row r="127">
      <c r="A127" s="34" t="n">
        <v>16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7" t="n"/>
      <c r="K127" s="5" t="n"/>
      <c r="L127" s="5" t="n"/>
      <c r="M127" s="30" t="n"/>
      <c r="N127" s="5" t="n"/>
      <c r="O127" s="30" t="n"/>
      <c r="P127" s="5" t="n"/>
      <c r="Q127" s="30" t="n"/>
      <c r="R127" s="5" t="n"/>
      <c r="S127" s="5" t="n"/>
    </row>
    <row r="128">
      <c r="A128" s="34" t="n">
        <v>17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7" t="n"/>
      <c r="K128" s="5" t="n"/>
      <c r="L128" s="5" t="n"/>
      <c r="M128" s="30" t="n"/>
      <c r="N128" s="5" t="n"/>
      <c r="O128" s="30" t="n"/>
      <c r="P128" s="5" t="n"/>
      <c r="Q128" s="30" t="n"/>
      <c r="R128" s="5" t="n"/>
      <c r="S128" s="5" t="n"/>
    </row>
    <row r="129">
      <c r="A129" s="34" t="n">
        <v>18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7" t="n"/>
      <c r="K129" s="5" t="n"/>
      <c r="L129" s="5" t="n"/>
      <c r="M129" s="30" t="n"/>
      <c r="N129" s="5" t="n"/>
      <c r="O129" s="30" t="n"/>
      <c r="P129" s="5" t="n"/>
      <c r="Q129" s="30" t="n"/>
      <c r="R129" s="5" t="n"/>
      <c r="S129" s="5" t="n"/>
    </row>
    <row r="130">
      <c r="A130" s="34" t="n">
        <v>19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27" t="n"/>
      <c r="K130" s="5" t="n"/>
      <c r="L130" s="5" t="n"/>
      <c r="M130" s="30" t="n"/>
      <c r="N130" s="5" t="n"/>
      <c r="O130" s="30" t="n"/>
      <c r="P130" s="5" t="n"/>
      <c r="Q130" s="30" t="n"/>
      <c r="R130" s="5" t="n"/>
      <c r="S130" s="5" t="n"/>
    </row>
    <row r="131">
      <c r="A131" s="34" t="n">
        <v>20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27" t="n"/>
      <c r="K131" s="5" t="n"/>
      <c r="L131" s="5" t="n"/>
      <c r="M131" s="30" t="n"/>
      <c r="N131" s="5" t="n"/>
      <c r="O131" s="30" t="n"/>
      <c r="P131" s="5" t="n"/>
      <c r="Q131" s="30" t="n"/>
      <c r="R131" s="5" t="n"/>
      <c r="S131" s="5" t="n"/>
    </row>
    <row r="132">
      <c r="A132" s="34" t="n">
        <v>21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27" t="n"/>
      <c r="K132" s="5" t="n"/>
      <c r="L132" s="5" t="n"/>
      <c r="M132" s="30" t="n"/>
      <c r="N132" s="5" t="n"/>
      <c r="O132" s="30" t="n"/>
      <c r="P132" s="5" t="n"/>
      <c r="Q132" s="30" t="n"/>
      <c r="R132" s="5" t="n"/>
      <c r="S132" s="5" t="n"/>
    </row>
    <row r="133">
      <c r="A133" s="34" t="n">
        <v>22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27" t="n"/>
      <c r="K133" s="5" t="n"/>
      <c r="L133" s="5" t="n"/>
      <c r="M133" s="30" t="n"/>
      <c r="N133" s="5" t="n"/>
      <c r="O133" s="30" t="n"/>
      <c r="P133" s="5" t="n"/>
      <c r="Q133" s="30" t="n"/>
      <c r="R133" s="5" t="n"/>
      <c r="S133" s="5" t="n"/>
    </row>
    <row r="134">
      <c r="A134" s="34" t="n">
        <v>23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27" t="n"/>
      <c r="K134" s="5" t="n"/>
      <c r="L134" s="5" t="n"/>
      <c r="M134" s="30" t="n"/>
      <c r="N134" s="5" t="n"/>
      <c r="O134" s="30" t="n"/>
      <c r="P134" s="5" t="n"/>
      <c r="Q134" s="30" t="n"/>
      <c r="R134" s="5" t="n"/>
      <c r="S134" s="5" t="n"/>
    </row>
    <row r="135">
      <c r="A135" s="34" t="n">
        <v>24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27" t="n"/>
      <c r="K135" s="5" t="n"/>
      <c r="L135" s="5" t="n"/>
      <c r="M135" s="30" t="n"/>
      <c r="N135" s="5" t="n"/>
      <c r="O135" s="30" t="n"/>
      <c r="P135" s="5" t="n"/>
      <c r="Q135" s="30" t="n"/>
      <c r="R135" s="5" t="n"/>
      <c r="S135" s="5" t="n"/>
    </row>
    <row r="136">
      <c r="A136" s="34" t="n">
        <v>25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27" t="n"/>
      <c r="K136" s="5" t="n"/>
      <c r="L136" s="5" t="n"/>
      <c r="M136" s="30" t="n"/>
      <c r="N136" s="5" t="n"/>
      <c r="O136" s="30" t="n"/>
      <c r="P136" s="5" t="n"/>
      <c r="Q136" s="30" t="n"/>
      <c r="R136" s="5" t="n"/>
      <c r="S136" s="5" t="n"/>
    </row>
    <row r="137">
      <c r="A137" s="34" t="n">
        <v>26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27" t="n"/>
      <c r="K137" s="5" t="n"/>
      <c r="L137" s="5" t="n"/>
      <c r="M137" s="30" t="n"/>
      <c r="N137" s="5" t="n"/>
      <c r="O137" s="30" t="n"/>
      <c r="P137" s="5" t="n"/>
      <c r="Q137" s="30" t="n"/>
      <c r="R137" s="5" t="n"/>
      <c r="S137" s="5" t="n"/>
    </row>
    <row r="138">
      <c r="A138" s="34" t="n">
        <v>27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27" t="n"/>
      <c r="K138" s="5" t="n"/>
      <c r="L138" s="5" t="n"/>
      <c r="M138" s="30" t="n"/>
      <c r="N138" s="5" t="n"/>
      <c r="O138" s="30" t="n"/>
      <c r="P138" s="5" t="n"/>
      <c r="Q138" s="30" t="n"/>
      <c r="R138" s="5" t="n"/>
      <c r="S138" s="5" t="n"/>
    </row>
    <row r="139">
      <c r="A139" s="34" t="n">
        <v>28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27" t="n"/>
      <c r="K139" s="5" t="n"/>
      <c r="L139" s="5" t="n"/>
      <c r="M139" s="30" t="n"/>
      <c r="N139" s="5" t="n"/>
      <c r="O139" s="30" t="n"/>
      <c r="P139" s="5" t="n"/>
      <c r="Q139" s="30" t="n"/>
      <c r="R139" s="5" t="n"/>
      <c r="S139" s="5" t="n"/>
    </row>
    <row r="140">
      <c r="A140" s="34" t="n">
        <v>29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27" t="n"/>
      <c r="K140" s="5" t="n"/>
      <c r="L140" s="5" t="n"/>
      <c r="M140" s="30" t="n"/>
      <c r="N140" s="5" t="n"/>
      <c r="O140" s="30" t="n"/>
      <c r="P140" s="5" t="n"/>
      <c r="Q140" s="30" t="n"/>
      <c r="R140" s="5" t="n"/>
      <c r="S140" s="5" t="n"/>
    </row>
    <row r="141">
      <c r="A141" s="34" t="n">
        <v>30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27" t="n"/>
      <c r="K141" s="5" t="n"/>
      <c r="L141" s="5" t="n"/>
      <c r="M141" s="30" t="n"/>
      <c r="N141" s="5" t="n"/>
      <c r="O141" s="30" t="n"/>
      <c r="P141" s="5" t="n"/>
      <c r="Q141" s="30" t="n"/>
      <c r="R141" s="5" t="n"/>
      <c r="S141" s="5" t="n"/>
    </row>
    <row r="142">
      <c r="A142" s="34" t="n">
        <v>31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27" t="n"/>
      <c r="K142" s="5" t="n"/>
      <c r="L142" s="5" t="n"/>
      <c r="M142" s="30" t="n"/>
      <c r="N142" s="5" t="n"/>
      <c r="O142" s="30" t="n"/>
      <c r="P142" s="5" t="n"/>
      <c r="Q142" s="30" t="n"/>
      <c r="R142" s="5" t="n"/>
      <c r="S142" s="5" t="n"/>
    </row>
    <row r="143">
      <c r="A143" s="34" t="n">
        <v>32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27" t="n"/>
      <c r="K143" s="5" t="n"/>
      <c r="L143" s="5" t="n"/>
      <c r="M143" s="30" t="n"/>
      <c r="N143" s="5" t="n"/>
      <c r="O143" s="30" t="n"/>
      <c r="P143" s="5" t="n"/>
      <c r="Q143" s="30" t="n"/>
      <c r="R143" s="5" t="n"/>
      <c r="S143" s="5" t="n"/>
    </row>
    <row r="144">
      <c r="A144" s="34" t="n">
        <v>33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27" t="n"/>
      <c r="K144" s="5" t="n"/>
      <c r="L144" s="5" t="n"/>
      <c r="M144" s="30" t="n"/>
      <c r="N144" s="5" t="n"/>
      <c r="O144" s="30" t="n"/>
      <c r="P144" s="5" t="n"/>
      <c r="Q144" s="30" t="n"/>
      <c r="R144" s="5" t="n"/>
      <c r="S144" s="5" t="n"/>
    </row>
    <row r="145">
      <c r="A145" s="34" t="n">
        <v>34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27" t="n"/>
      <c r="K145" s="5" t="n"/>
      <c r="L145" s="5" t="n"/>
      <c r="M145" s="30" t="n"/>
      <c r="N145" s="5" t="n"/>
      <c r="O145" s="30" t="n"/>
      <c r="P145" s="5" t="n"/>
      <c r="Q145" s="30" t="n"/>
      <c r="R145" s="5" t="n"/>
      <c r="S145" s="5" t="n"/>
    </row>
    <row r="146">
      <c r="A146" s="34" t="n">
        <v>35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27" t="n"/>
      <c r="K146" s="5" t="n"/>
      <c r="L146" s="5" t="n"/>
      <c r="M146" s="30" t="n"/>
      <c r="N146" s="5" t="n"/>
      <c r="O146" s="30" t="n"/>
      <c r="P146" s="5" t="n"/>
      <c r="Q146" s="30" t="n"/>
      <c r="R146" s="5" t="n"/>
      <c r="S146" s="5" t="n"/>
    </row>
    <row r="147">
      <c r="A147" s="34" t="n">
        <v>36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27" t="n"/>
      <c r="K147" s="5" t="n"/>
      <c r="L147" s="5" t="n"/>
      <c r="M147" s="30" t="n"/>
      <c r="N147" s="5" t="n"/>
      <c r="O147" s="30" t="n"/>
      <c r="P147" s="5" t="n"/>
      <c r="Q147" s="30" t="n"/>
      <c r="R147" s="5" t="n"/>
      <c r="S147" s="5" t="n"/>
    </row>
    <row r="148">
      <c r="A148" s="34" t="n">
        <v>37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27" t="n"/>
      <c r="K148" s="5" t="n"/>
      <c r="L148" s="5" t="n"/>
      <c r="M148" s="30" t="n"/>
      <c r="N148" s="5" t="n"/>
      <c r="O148" s="30" t="n"/>
      <c r="P148" s="5" t="n"/>
      <c r="Q148" s="30" t="n"/>
      <c r="R148" s="5" t="n"/>
      <c r="S148" s="5" t="n"/>
    </row>
    <row r="149">
      <c r="A149" s="34" t="n">
        <v>38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27" t="n"/>
      <c r="K149" s="5" t="n"/>
      <c r="L149" s="5" t="n"/>
      <c r="M149" s="30" t="n"/>
      <c r="N149" s="5" t="n"/>
      <c r="O149" s="30" t="n"/>
      <c r="P149" s="5" t="n"/>
      <c r="Q149" s="30" t="n"/>
      <c r="R149" s="5" t="n"/>
      <c r="S149" s="5" t="n"/>
    </row>
    <row r="150">
      <c r="A150" s="34" t="n">
        <v>39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27" t="n"/>
      <c r="K150" s="5" t="n"/>
      <c r="L150" s="5" t="n"/>
      <c r="M150" s="30" t="n"/>
      <c r="N150" s="5" t="n"/>
      <c r="O150" s="30" t="n"/>
      <c r="P150" s="5" t="n"/>
      <c r="Q150" s="30" t="n"/>
      <c r="R150" s="5" t="n"/>
      <c r="S150" s="5" t="n"/>
    </row>
    <row r="151">
      <c r="A151" s="34" t="n">
        <v>40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27" t="n"/>
      <c r="K151" s="5" t="n"/>
      <c r="L151" s="5" t="n"/>
      <c r="M151" s="30" t="n"/>
      <c r="N151" s="5" t="n"/>
      <c r="O151" s="30" t="n"/>
      <c r="P151" s="5" t="n"/>
      <c r="Q151" s="30" t="n"/>
      <c r="R151" s="5" t="n"/>
      <c r="S151" s="5" t="n"/>
    </row>
  </sheetData>
  <mergeCells count="112">
    <mergeCell ref="J82:K82"/>
    <mergeCell ref="G59:K59"/>
    <mergeCell ref="G13:I13"/>
    <mergeCell ref="G67:K67"/>
    <mergeCell ref="G61:K61"/>
    <mergeCell ref="C105:K105"/>
    <mergeCell ref="G15:I15"/>
    <mergeCell ref="C7:E7"/>
    <mergeCell ref="G62:K62"/>
    <mergeCell ref="J86:K86"/>
    <mergeCell ref="G16:I16"/>
    <mergeCell ref="G24:K24"/>
    <mergeCell ref="C18:E18"/>
    <mergeCell ref="G33:K33"/>
    <mergeCell ref="G9:I9"/>
    <mergeCell ref="G65:K65"/>
    <mergeCell ref="C93:F93"/>
    <mergeCell ref="G26:K26"/>
    <mergeCell ref="G35:K35"/>
    <mergeCell ref="G63:K63"/>
    <mergeCell ref="I45:K45"/>
    <mergeCell ref="G25:K25"/>
    <mergeCell ref="J71:K71"/>
    <mergeCell ref="G60:K60"/>
    <mergeCell ref="I47:K47"/>
    <mergeCell ref="G52:K52"/>
    <mergeCell ref="J73:K73"/>
    <mergeCell ref="G6:I6"/>
    <mergeCell ref="H96:K96"/>
    <mergeCell ref="J88:K88"/>
    <mergeCell ref="C12:E12"/>
    <mergeCell ref="G14:I14"/>
    <mergeCell ref="C96:F96"/>
    <mergeCell ref="C92:F92"/>
    <mergeCell ref="G28:K28"/>
    <mergeCell ref="J83:K83"/>
    <mergeCell ref="C98:F98"/>
    <mergeCell ref="H93:K93"/>
    <mergeCell ref="G30:K30"/>
    <mergeCell ref="C13:E13"/>
    <mergeCell ref="J85:K85"/>
    <mergeCell ref="M4:O4"/>
    <mergeCell ref="C15:E15"/>
    <mergeCell ref="G55:K55"/>
    <mergeCell ref="G4:K4"/>
    <mergeCell ref="G64:K64"/>
    <mergeCell ref="C108:K108"/>
    <mergeCell ref="H94:K94"/>
    <mergeCell ref="G51:K51"/>
    <mergeCell ref="G54:K54"/>
    <mergeCell ref="G32:K32"/>
    <mergeCell ref="G8:I8"/>
    <mergeCell ref="G17:I17"/>
    <mergeCell ref="C10:E10"/>
    <mergeCell ref="C16:E16"/>
    <mergeCell ref="G56:K56"/>
    <mergeCell ref="G10:I10"/>
    <mergeCell ref="J81:K81"/>
    <mergeCell ref="C9:E9"/>
    <mergeCell ref="G27:K27"/>
    <mergeCell ref="C11:E11"/>
    <mergeCell ref="H97:K97"/>
    <mergeCell ref="G5:I5"/>
    <mergeCell ref="I39:K39"/>
    <mergeCell ref="G66:K66"/>
    <mergeCell ref="I48:K48"/>
    <mergeCell ref="G53:K53"/>
    <mergeCell ref="C106:K106"/>
    <mergeCell ref="J74:K74"/>
    <mergeCell ref="I38:K38"/>
    <mergeCell ref="C97:F97"/>
    <mergeCell ref="G58:K58"/>
    <mergeCell ref="C100:F100"/>
    <mergeCell ref="I40:K40"/>
    <mergeCell ref="C94:F94"/>
    <mergeCell ref="G12:I12"/>
    <mergeCell ref="C6:E6"/>
    <mergeCell ref="C14:E14"/>
    <mergeCell ref="G29:K29"/>
    <mergeCell ref="C104:K104"/>
    <mergeCell ref="H100:K100"/>
    <mergeCell ref="C95:F95"/>
    <mergeCell ref="G31:K31"/>
    <mergeCell ref="G7:I7"/>
    <mergeCell ref="I41:K41"/>
    <mergeCell ref="G21:K21"/>
    <mergeCell ref="C103:K103"/>
    <mergeCell ref="J72:K72"/>
    <mergeCell ref="I43:K43"/>
    <mergeCell ref="H95:K95"/>
    <mergeCell ref="G23:K23"/>
    <mergeCell ref="J84:K84"/>
    <mergeCell ref="J78:K78"/>
    <mergeCell ref="J87:K87"/>
    <mergeCell ref="I42:K42"/>
    <mergeCell ref="H92:K92"/>
    <mergeCell ref="C8:E8"/>
    <mergeCell ref="J80:K80"/>
    <mergeCell ref="C17:E17"/>
    <mergeCell ref="G57:K57"/>
    <mergeCell ref="I44:K44"/>
    <mergeCell ref="J70:K70"/>
    <mergeCell ref="J79:K79"/>
    <mergeCell ref="G34:K34"/>
    <mergeCell ref="H98:K98"/>
    <mergeCell ref="C99:F99"/>
    <mergeCell ref="G11:I11"/>
    <mergeCell ref="I46:K46"/>
    <mergeCell ref="C5:E5"/>
    <mergeCell ref="C107:K107"/>
    <mergeCell ref="G22:K22"/>
    <mergeCell ref="H99:K99"/>
  </mergeCells>
  <dataValidations count="14">
    <dataValidation sqref="C18" showDropDown="0" showInputMessage="0" showErrorMessage="0" allowBlank="1" type="list">
      <formula1>"企画中,募集中,実施済,中止"</formula1>
    </dataValidation>
    <dataValidation sqref="C7" showDropDown="0" showInputMessage="0" showErrorMessage="0" allowBlank="1" type="list">
      <formula1>"経営者交流（Class-E）,for Beginner,その他"</formula1>
    </dataValidation>
    <dataValidation sqref="K6 K7 K8 K9 K10 K11 K12 K13 K14 K15 K16 K17" showDropDown="0" showInputMessage="0" showErrorMessage="0" allowBlank="1" type="list">
      <formula1>"未着手,対応中,完了,対象外"</formula1>
    </dataValidation>
    <dataValidation sqref="F79:F88" showDropDown="0" showInputMessage="0" showErrorMessage="0" allowBlank="1" type="list">
      <formula1>"白,赤,ロゼ,スパークリング,オレンジ,甘口・貴腐,その他"</formula1>
    </dataValidation>
    <dataValidation sqref="D112:D151" showDropDown="0" showInputMessage="0" showErrorMessage="0" allowBlank="1" type="list">
      <formula1>"男性,女性,その他・回答なし"</formula1>
    </dataValidation>
    <dataValidation sqref="E112:E151" showDropDown="0" showInputMessage="0" showErrorMessage="0" allowBlank="1" type="list">
      <formula1>"20代,30代,40代,50代,60代以上"</formula1>
    </dataValidation>
    <dataValidation sqref="H112:H151" showDropDown="0" showInputMessage="0" showErrorMessage="0" allowBlank="1" type="list">
      <formula1>"新規,リピーター"</formula1>
    </dataValidation>
    <dataValidation sqref="I112:I151" showDropDown="0" showInputMessage="0" showErrorMessage="0" allowBlank="1" type="list">
      <formula1>"Instagram,Meta広告,LINE,知人・紹介,以前参加,イベントサイト,メールマガジン,検索,その他"</formula1>
    </dataValidation>
    <dataValidation sqref="K112:K151" showDropDown="0" showInputMessage="0" showErrorMessage="0" allowBlank="1" type="list">
      <formula1>"クレジットカード,銀行振込,当日現金,その他"</formula1>
    </dataValidation>
    <dataValidation sqref="L112:L151" showDropDown="0" showInputMessage="0" showErrorMessage="0" allowBlank="1" type="list">
      <formula1>"申込,参加,キャンセル,無断欠席"</formula1>
    </dataValidation>
    <dataValidation sqref="N112:N151" showDropDown="0" showInputMessage="0" showErrorMessage="0" allowBlank="1" type="list">
      <formula1>"済,未"</formula1>
    </dataValidation>
    <dataValidation sqref="P112:P151" showDropDown="0" showInputMessage="0" showErrorMessage="0" allowBlank="1" type="list">
      <formula1>"同意,不可"</formula1>
    </dataValidation>
    <dataValidation sqref="Q112:Q151" showDropDown="0" showInputMessage="0" showErrorMessage="0" allowBlank="1" type="list">
      <formula1>"1,2,3,4,5"</formula1>
    </dataValidation>
    <dataValidation sqref="R112:R151" showDropDown="0" showInputMessage="0" showErrorMessage="0" allowBlank="1" type="list">
      <formula1>"あり,未定,なし"</formula1>
    </dataValidation>
  </dataValidation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4A24E"/>
    <outlinePr summaryBelow="1" summaryRight="1"/>
    <pageSetUpPr fitToPage="1"/>
  </sheetPr>
  <dimension ref="A1:S1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1" customWidth="1" min="8" max="8"/>
    <col width="16" customWidth="1" min="9" max="9"/>
    <col width="12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1" customWidth="1" min="16" max="16"/>
    <col width="10" customWidth="1" min="17" max="17"/>
    <col width="12" customWidth="1" min="18" max="18"/>
    <col width="28" customWidth="1" min="19" max="19"/>
  </cols>
  <sheetData>
    <row r="1">
      <c r="A1" s="1" t="inlineStr">
        <is>
          <t>ワイン会 実施前後レポート｜ハンガリーワイン会 for Beginner</t>
        </is>
      </c>
    </row>
    <row r="2">
      <c r="A2" s="7" t="inlineStr">
        <is>
          <t>黄色セル＝入力 ／ グレーセル＝自動計算（触らない）。実施前は【計画】列、実施後は【実績】列と参加者リストを記入。</t>
        </is>
      </c>
    </row>
    <row r="3"/>
    <row r="4">
      <c r="A4" s="20" t="inlineStr">
        <is>
          <t>1. 基本情報</t>
        </is>
      </c>
      <c r="B4" s="21" t="n"/>
      <c r="C4" s="21" t="n"/>
      <c r="D4" s="21" t="n"/>
      <c r="E4" s="21" t="n"/>
      <c r="F4" s="21" t="n"/>
      <c r="G4" s="22" t="inlineStr">
        <is>
          <t>実施前チェックリスト</t>
        </is>
      </c>
      <c r="H4" s="23" t="n"/>
      <c r="I4" s="23" t="n"/>
      <c r="J4" s="23" t="n"/>
      <c r="K4" s="23" t="n"/>
      <c r="L4" s="21" t="n"/>
      <c r="M4" s="22" t="inlineStr">
        <is>
          <t>準備の進捗</t>
        </is>
      </c>
      <c r="N4" s="23" t="n"/>
      <c r="O4" s="23" t="n"/>
      <c r="P4" s="21" t="n"/>
      <c r="Q4" s="21" t="n"/>
      <c r="R4" s="21" t="n"/>
      <c r="S4" s="21" t="n"/>
    </row>
    <row r="5">
      <c r="B5" s="18" t="inlineStr">
        <is>
          <t>回No</t>
        </is>
      </c>
      <c r="C5" s="5" t="inlineStr">
        <is>
          <t>—</t>
        </is>
      </c>
      <c r="D5" s="24" t="n"/>
      <c r="E5" s="24" t="n"/>
      <c r="G5" s="12" t="inlineStr">
        <is>
          <t>項目</t>
        </is>
      </c>
      <c r="H5" s="25" t="n"/>
      <c r="I5" s="26" t="n"/>
      <c r="J5" s="12" t="inlineStr">
        <is>
          <t>期限</t>
        </is>
      </c>
      <c r="K5" s="12" t="inlineStr">
        <is>
          <t>状況</t>
        </is>
      </c>
      <c r="M5" s="18" t="inlineStr">
        <is>
          <t>完了</t>
        </is>
      </c>
      <c r="N5" s="6">
        <f>COUNTIF(K6:K17,"完了")&amp;" / "&amp;(COUNTA(K6:K17)-COUNTIF(K6:K17,"対象外"))</f>
        <v/>
      </c>
    </row>
    <row r="6">
      <c r="B6" s="18" t="inlineStr">
        <is>
          <t>イベント名</t>
        </is>
      </c>
      <c r="C6" s="5" t="inlineStr">
        <is>
          <t>ハンガリーワイン会 for Beginner</t>
        </is>
      </c>
      <c r="D6" s="24" t="n"/>
      <c r="E6" s="24" t="n"/>
      <c r="G6" s="5" t="inlineStr">
        <is>
          <t>会場予約の確定</t>
        </is>
      </c>
      <c r="H6" s="24" t="n"/>
      <c r="I6" s="24" t="n"/>
      <c r="J6" s="27" t="n"/>
      <c r="K6" s="5" t="inlineStr">
        <is>
          <t>未着手</t>
        </is>
      </c>
    </row>
    <row r="7">
      <c r="B7" s="18" t="inlineStr">
        <is>
          <t>種別</t>
        </is>
      </c>
      <c r="C7" s="5" t="inlineStr">
        <is>
          <t>for Beginner</t>
        </is>
      </c>
      <c r="D7" s="24" t="n"/>
      <c r="E7" s="24" t="n"/>
      <c r="G7" s="5" t="inlineStr">
        <is>
          <t>提供ワイン確定・発注</t>
        </is>
      </c>
      <c r="H7" s="24" t="n"/>
      <c r="I7" s="24" t="n"/>
      <c r="J7" s="27" t="n"/>
      <c r="K7" s="5" t="inlineStr">
        <is>
          <t>未着手</t>
        </is>
      </c>
    </row>
    <row r="8">
      <c r="B8" s="18" t="inlineStr">
        <is>
          <t>開催日</t>
        </is>
      </c>
      <c r="C8" s="28" t="n">
        <v>46265</v>
      </c>
      <c r="D8" s="24" t="n"/>
      <c r="E8" s="24" t="n"/>
      <c r="G8" s="5" t="inlineStr">
        <is>
          <t>告知ページ／LP公開</t>
        </is>
      </c>
      <c r="H8" s="24" t="n"/>
      <c r="I8" s="24" t="n"/>
      <c r="J8" s="27" t="n"/>
      <c r="K8" s="5" t="inlineStr">
        <is>
          <t>未着手</t>
        </is>
      </c>
    </row>
    <row r="9">
      <c r="B9" s="18" t="inlineStr">
        <is>
          <t>開場</t>
        </is>
      </c>
      <c r="C9" s="29" t="n"/>
      <c r="D9" s="24" t="n"/>
      <c r="E9" s="24" t="n"/>
      <c r="G9" s="5" t="inlineStr">
        <is>
          <t>Instagram告知投稿</t>
        </is>
      </c>
      <c r="H9" s="24" t="n"/>
      <c r="I9" s="24" t="n"/>
      <c r="J9" s="27" t="n"/>
      <c r="K9" s="5" t="inlineStr">
        <is>
          <t>未着手</t>
        </is>
      </c>
    </row>
    <row r="10">
      <c r="B10" s="18" t="inlineStr">
        <is>
          <t>開始</t>
        </is>
      </c>
      <c r="C10" s="29" t="n">
        <v>0.7916666666666666</v>
      </c>
      <c r="D10" s="24" t="n"/>
      <c r="E10" s="24" t="n"/>
      <c r="G10" s="5" t="inlineStr">
        <is>
          <t>LINE告知（3週間前）</t>
        </is>
      </c>
      <c r="H10" s="24" t="n"/>
      <c r="I10" s="24" t="n"/>
      <c r="J10" s="27" t="n"/>
      <c r="K10" s="5" t="inlineStr">
        <is>
          <t>未着手</t>
        </is>
      </c>
    </row>
    <row r="11">
      <c r="B11" s="18" t="inlineStr">
        <is>
          <t>終了</t>
        </is>
      </c>
      <c r="C11" s="29" t="n"/>
      <c r="D11" s="24" t="n"/>
      <c r="E11" s="24" t="n"/>
      <c r="G11" s="5" t="inlineStr">
        <is>
          <t>LINE告知（1週間前）</t>
        </is>
      </c>
      <c r="H11" s="24" t="n"/>
      <c r="I11" s="24" t="n"/>
      <c r="J11" s="27" t="n"/>
      <c r="K11" s="5" t="inlineStr">
        <is>
          <t>未着手</t>
        </is>
      </c>
    </row>
    <row r="12">
      <c r="B12" s="18" t="inlineStr">
        <is>
          <t>会場</t>
        </is>
      </c>
      <c r="C12" s="5" t="inlineStr">
        <is>
          <t>六本木一丁目「経営者の部室」</t>
        </is>
      </c>
      <c r="D12" s="24" t="n"/>
      <c r="E12" s="24" t="n"/>
      <c r="G12" s="5" t="inlineStr">
        <is>
          <t>LINE告知（前日）</t>
        </is>
      </c>
      <c r="H12" s="24" t="n"/>
      <c r="I12" s="24" t="n"/>
      <c r="J12" s="27" t="n"/>
      <c r="K12" s="5" t="inlineStr">
        <is>
          <t>未着手</t>
        </is>
      </c>
    </row>
    <row r="13">
      <c r="B13" s="18" t="inlineStr">
        <is>
          <t>定員（名）</t>
        </is>
      </c>
      <c r="C13" s="30" t="n">
        <v>30</v>
      </c>
      <c r="D13" s="24" t="n"/>
      <c r="E13" s="24" t="n"/>
      <c r="G13" s="5" t="inlineStr">
        <is>
          <t>広告入稿・審査通過</t>
        </is>
      </c>
      <c r="H13" s="24" t="n"/>
      <c r="I13" s="24" t="n"/>
      <c r="J13" s="27" t="n"/>
      <c r="K13" s="5" t="inlineStr">
        <is>
          <t>未着手</t>
        </is>
      </c>
    </row>
    <row r="14">
      <c r="B14" s="18" t="inlineStr">
        <is>
          <t>会費・事前決済（円/税込）</t>
        </is>
      </c>
      <c r="C14" s="30" t="n">
        <v>7000</v>
      </c>
      <c r="D14" s="24" t="n"/>
      <c r="E14" s="24" t="n"/>
      <c r="G14" s="5" t="inlineStr">
        <is>
          <t>参加者へ前日リマインド</t>
        </is>
      </c>
      <c r="H14" s="24" t="n"/>
      <c r="I14" s="24" t="n"/>
      <c r="J14" s="27" t="n"/>
      <c r="K14" s="5" t="inlineStr">
        <is>
          <t>未着手</t>
        </is>
      </c>
    </row>
    <row r="15">
      <c r="B15" s="18" t="inlineStr">
        <is>
          <t>会費・当日決済（円/税込）</t>
        </is>
      </c>
      <c r="C15" s="30" t="n"/>
      <c r="D15" s="24" t="n"/>
      <c r="E15" s="24" t="n"/>
      <c r="G15" s="5" t="inlineStr">
        <is>
          <t>受付名簿・領収書の準備</t>
        </is>
      </c>
      <c r="H15" s="24" t="n"/>
      <c r="I15" s="24" t="n"/>
      <c r="J15" s="27" t="n"/>
      <c r="K15" s="5" t="inlineStr">
        <is>
          <t>未着手</t>
        </is>
      </c>
    </row>
    <row r="16">
      <c r="B16" s="18" t="inlineStr">
        <is>
          <t>責任者（企画・最終判断）</t>
        </is>
      </c>
      <c r="C16" s="5" t="inlineStr">
        <is>
          <t>高橋</t>
        </is>
      </c>
      <c r="D16" s="24" t="n"/>
      <c r="E16" s="24" t="n"/>
      <c r="G16" s="5" t="inlineStr">
        <is>
          <t>写真掲載の同意確認方法を準備</t>
        </is>
      </c>
      <c r="H16" s="24" t="n"/>
      <c r="I16" s="24" t="n"/>
      <c r="J16" s="27" t="n"/>
      <c r="K16" s="5" t="inlineStr">
        <is>
          <t>未着手</t>
        </is>
      </c>
    </row>
    <row r="17">
      <c r="B17" s="18" t="inlineStr">
        <is>
          <t>運営担当</t>
        </is>
      </c>
      <c r="C17" s="5" t="inlineStr">
        <is>
          <t>秘書</t>
        </is>
      </c>
      <c r="D17" s="24" t="n"/>
      <c r="E17" s="24" t="n"/>
      <c r="G17" s="5" t="inlineStr">
        <is>
          <t>当日の流れ・台本の確定</t>
        </is>
      </c>
      <c r="H17" s="24" t="n"/>
      <c r="I17" s="24" t="n"/>
      <c r="J17" s="27" t="n"/>
      <c r="K17" s="5" t="inlineStr">
        <is>
          <t>未着手</t>
        </is>
      </c>
    </row>
    <row r="18">
      <c r="B18" s="18" t="inlineStr">
        <is>
          <t>ステータス</t>
        </is>
      </c>
      <c r="C18" s="5" t="n"/>
      <c r="D18" s="24" t="n"/>
      <c r="E18" s="24" t="n"/>
    </row>
    <row r="19"/>
    <row r="20">
      <c r="A20" s="20" t="inlineStr">
        <is>
          <t>2. 計画 vs 実績（KPI）</t>
        </is>
      </c>
      <c r="B20" s="21" t="n"/>
      <c r="C20" s="21" t="n"/>
      <c r="D20" s="21" t="n"/>
      <c r="E20" s="21" t="n"/>
      <c r="F20" s="31" t="inlineStr">
        <is>
          <t>実施前に【計画】、実施後に【実績】。実績の多くは参加者リストから自動集計</t>
        </is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s="12" t="inlineStr"/>
      <c r="B21" s="12" t="inlineStr">
        <is>
          <t>項目</t>
        </is>
      </c>
      <c r="C21" s="12" t="inlineStr">
        <is>
          <t>計画（実施前）</t>
        </is>
      </c>
      <c r="D21" s="12" t="inlineStr">
        <is>
          <t>実績（実施後）</t>
        </is>
      </c>
      <c r="E21" s="12" t="inlineStr">
        <is>
          <t>差異</t>
        </is>
      </c>
      <c r="F21" s="12" t="inlineStr">
        <is>
          <t>達成率</t>
        </is>
      </c>
      <c r="G21" s="12" t="inlineStr">
        <is>
          <t>メモ</t>
        </is>
      </c>
      <c r="H21" s="25" t="n"/>
      <c r="I21" s="25" t="n"/>
      <c r="J21" s="25" t="n"/>
      <c r="K21" s="26" t="n"/>
    </row>
    <row r="22">
      <c r="B22" s="18" t="inlineStr">
        <is>
          <t>申込数（名）</t>
        </is>
      </c>
      <c r="C22" s="30" t="n"/>
      <c r="D22" s="15">
        <f>COUNTA($B$112:$B$151)</f>
        <v/>
      </c>
      <c r="E22" s="15">
        <f>IF(C22="","",D22-C22)</f>
        <v/>
      </c>
      <c r="F22" s="16">
        <f>IF(OR(C22="",C22=0),"",D22/C22)</f>
        <v/>
      </c>
      <c r="G22" s="5" t="n"/>
      <c r="H22" s="24" t="n"/>
      <c r="I22" s="24" t="n"/>
      <c r="J22" s="24" t="n"/>
      <c r="K22" s="24" t="n"/>
    </row>
    <row r="23">
      <c r="B23" s="18" t="inlineStr">
        <is>
          <t>参加者数（名）</t>
        </is>
      </c>
      <c r="C23" s="30" t="n">
        <v>30</v>
      </c>
      <c r="D23" s="15">
        <f>COUNTIF($L$112:$L$151,"参加")</f>
        <v/>
      </c>
      <c r="E23" s="15">
        <f>IF(C23="","",D23-C23)</f>
        <v/>
      </c>
      <c r="F23" s="16">
        <f>IF(OR(C23="",C23=0),"",D23/C23)</f>
        <v/>
      </c>
      <c r="G23" s="5" t="inlineStr">
        <is>
          <t>集客目標30名（Meta広告ガイド冒頭）</t>
        </is>
      </c>
      <c r="H23" s="24" t="n"/>
      <c r="I23" s="24" t="n"/>
      <c r="J23" s="24" t="n"/>
      <c r="K23" s="24" t="n"/>
    </row>
    <row r="24">
      <c r="B24" s="3" t="inlineStr">
        <is>
          <t xml:space="preserve">　うち男性</t>
        </is>
      </c>
      <c r="C24" s="30" t="n">
        <v>20</v>
      </c>
      <c r="D24" s="15">
        <f>COUNTIFS($L$112:$L$151,"参加",$D$112:$D$151,"男性")</f>
        <v/>
      </c>
      <c r="E24" s="15">
        <f>IF(C24="","",D24-C24)</f>
        <v/>
      </c>
      <c r="F24" s="16">
        <f>IF(OR(C24="",C24=0),"",D24/C24)</f>
        <v/>
      </c>
      <c r="G24" s="5" t="inlineStr">
        <is>
          <t>男女比は内部目標。告知・広告には出さない（運用マニュアル4-1）</t>
        </is>
      </c>
      <c r="H24" s="24" t="n"/>
      <c r="I24" s="24" t="n"/>
      <c r="J24" s="24" t="n"/>
      <c r="K24" s="24" t="n"/>
    </row>
    <row r="25">
      <c r="B25" s="3" t="inlineStr">
        <is>
          <t xml:space="preserve">　うち女性</t>
        </is>
      </c>
      <c r="C25" s="30" t="n">
        <v>10</v>
      </c>
      <c r="D25" s="15">
        <f>COUNTIFS($L$112:$L$151,"参加",$D$112:$D$151,"女性")</f>
        <v/>
      </c>
      <c r="E25" s="15">
        <f>IF(C25="","",D25-C25)</f>
        <v/>
      </c>
      <c r="F25" s="16">
        <f>IF(OR(C25="",C25=0),"",D25/C25)</f>
        <v/>
      </c>
      <c r="G25" s="5" t="n"/>
      <c r="H25" s="24" t="n"/>
      <c r="I25" s="24" t="n"/>
      <c r="J25" s="24" t="n"/>
      <c r="K25" s="24" t="n"/>
    </row>
    <row r="26">
      <c r="B26" s="3" t="inlineStr">
        <is>
          <t xml:space="preserve">　うち新規</t>
        </is>
      </c>
      <c r="C26" s="30" t="n"/>
      <c r="D26" s="15">
        <f>COUNTIFS($L$112:$L$151,"参加",$H$112:$H$151,"新規")</f>
        <v/>
      </c>
      <c r="E26" s="15">
        <f>IF(C26="","",D26-C26)</f>
        <v/>
      </c>
      <c r="F26" s="16">
        <f>IF(OR(C26="",C26=0),"",D26/C26)</f>
        <v/>
      </c>
      <c r="G26" s="5" t="n"/>
      <c r="H26" s="24" t="n"/>
      <c r="I26" s="24" t="n"/>
      <c r="J26" s="24" t="n"/>
      <c r="K26" s="24" t="n"/>
    </row>
    <row r="27">
      <c r="B27" s="3" t="inlineStr">
        <is>
          <t xml:space="preserve">　うちリピーター</t>
        </is>
      </c>
      <c r="C27" s="30" t="n"/>
      <c r="D27" s="15">
        <f>COUNTIFS($L$112:$L$151,"参加",$H$112:$H$151,"リピーター")</f>
        <v/>
      </c>
      <c r="E27" s="15">
        <f>IF(C27="","",D27-C27)</f>
        <v/>
      </c>
      <c r="F27" s="16">
        <f>IF(OR(C27="",C27=0),"",D27/C27)</f>
        <v/>
      </c>
      <c r="G27" s="5" t="n"/>
      <c r="H27" s="24" t="n"/>
      <c r="I27" s="24" t="n"/>
      <c r="J27" s="24" t="n"/>
      <c r="K27" s="24" t="n"/>
    </row>
    <row r="28">
      <c r="B28" s="18" t="inlineStr">
        <is>
          <t>キャンセル数</t>
        </is>
      </c>
      <c r="C28" s="30" t="n"/>
      <c r="D28" s="15">
        <f>COUNTIF($L$112:$L$151,"キャンセル")</f>
        <v/>
      </c>
      <c r="E28" s="15">
        <f>IF(C28="","",D28-C28)</f>
        <v/>
      </c>
      <c r="F28" s="16">
        <f>IF(OR(C28="",C28=0),"",D28/C28)</f>
        <v/>
      </c>
      <c r="G28" s="5" t="n"/>
      <c r="H28" s="24" t="n"/>
      <c r="I28" s="24" t="n"/>
      <c r="J28" s="24" t="n"/>
      <c r="K28" s="24" t="n"/>
    </row>
    <row r="29">
      <c r="B29" s="18" t="inlineStr">
        <is>
          <t>無断欠席数</t>
        </is>
      </c>
      <c r="C29" s="30" t="n"/>
      <c r="D29" s="15">
        <f>COUNTIF($L$112:$L$151,"無断欠席")</f>
        <v/>
      </c>
      <c r="E29" s="15">
        <f>IF(C29="","",D29-C29)</f>
        <v/>
      </c>
      <c r="F29" s="16">
        <f>IF(OR(C29="",C29=0),"",D29/C29)</f>
        <v/>
      </c>
      <c r="G29" s="5" t="n"/>
      <c r="H29" s="24" t="n"/>
      <c r="I29" s="24" t="n"/>
      <c r="J29" s="24" t="n"/>
      <c r="K29" s="24" t="n"/>
    </row>
    <row r="30">
      <c r="B30" s="18" t="inlineStr">
        <is>
          <t>充足率（参加者÷定員）</t>
        </is>
      </c>
      <c r="C30" s="16">
        <f>IFERROR(C23/C13,0)</f>
        <v/>
      </c>
      <c r="D30" s="16">
        <f>IFERROR(D23/C13,0)</f>
        <v/>
      </c>
      <c r="E30" s="16">
        <f>IF(C30="","",D30-C30)</f>
        <v/>
      </c>
      <c r="F30" s="6">
        <f>""</f>
        <v/>
      </c>
      <c r="G30" s="5" t="n"/>
      <c r="H30" s="24" t="n"/>
      <c r="I30" s="24" t="n"/>
      <c r="J30" s="24" t="n"/>
      <c r="K30" s="24" t="n"/>
    </row>
    <row r="31">
      <c r="B31" s="18" t="inlineStr">
        <is>
          <t>LINE友だち追加数（告知期間）</t>
        </is>
      </c>
      <c r="C31" s="30" t="n"/>
      <c r="D31" s="30" t="n"/>
      <c r="E31" s="15">
        <f>IF(C31="","",D31-C31)</f>
        <v/>
      </c>
      <c r="F31" s="16">
        <f>IF(OR(C31="",C31=0),"",D31/C31)</f>
        <v/>
      </c>
      <c r="G31" s="5" t="n"/>
      <c r="H31" s="24" t="n"/>
      <c r="I31" s="24" t="n"/>
      <c r="J31" s="24" t="n"/>
      <c r="K31" s="24" t="n"/>
    </row>
    <row r="32">
      <c r="B32" s="18" t="inlineStr">
        <is>
          <t>満足度 平均（5段階）</t>
        </is>
      </c>
      <c r="C32" s="32" t="n"/>
      <c r="D32" s="17">
        <f>IFERROR(AVERAGEIFS($Q$112:$Q$151,$L$112:$L$151,"参加",$Q$112:$Q$151,"&gt;0"),0)</f>
        <v/>
      </c>
      <c r="E32" s="17">
        <f>IF(C32="","",D32-C32)</f>
        <v/>
      </c>
      <c r="F32" s="6">
        <f>""</f>
        <v/>
      </c>
      <c r="G32" s="5" t="n"/>
      <c r="H32" s="24" t="n"/>
      <c r="I32" s="24" t="n"/>
      <c r="J32" s="24" t="n"/>
      <c r="K32" s="24" t="n"/>
    </row>
    <row r="33">
      <c r="B33" s="18" t="inlineStr">
        <is>
          <t>次回参加意向「あり」率</t>
        </is>
      </c>
      <c r="C33" s="33" t="n"/>
      <c r="D33" s="16">
        <f>IFERROR(COUNTIFS($L$112:$L$151,"参加",$R$112:$R$151,"あり")/COUNTIF($L$112:$L$151,"参加"),0)</f>
        <v/>
      </c>
      <c r="E33" s="16">
        <f>IF(C33="","",D33-C33)</f>
        <v/>
      </c>
      <c r="F33" s="6">
        <f>""</f>
        <v/>
      </c>
      <c r="G33" s="5" t="n"/>
      <c r="H33" s="24" t="n"/>
      <c r="I33" s="24" t="n"/>
      <c r="J33" s="24" t="n"/>
      <c r="K33" s="24" t="n"/>
    </row>
    <row r="34">
      <c r="B34" s="18" t="inlineStr">
        <is>
          <t>写真掲載 同意数</t>
        </is>
      </c>
      <c r="C34" s="30" t="n"/>
      <c r="D34" s="15">
        <f>COUNTIFS($L$112:$L$151,"参加",$P$112:$P$151,"同意")</f>
        <v/>
      </c>
      <c r="E34" s="15">
        <f>IF(C34="","",D34-C34)</f>
        <v/>
      </c>
      <c r="F34" s="16">
        <f>IF(OR(C34="",C34=0),"",D34/C34)</f>
        <v/>
      </c>
      <c r="G34" s="5" t="n"/>
      <c r="H34" s="24" t="n"/>
      <c r="I34" s="24" t="n"/>
      <c r="J34" s="24" t="n"/>
      <c r="K34" s="24" t="n"/>
    </row>
    <row r="35">
      <c r="B35" s="18" t="inlineStr">
        <is>
          <t>参加者1名あたり粗利（円）</t>
        </is>
      </c>
      <c r="C35" s="15">
        <f>IFERROR(C65/C23,0)</f>
        <v/>
      </c>
      <c r="D35" s="15">
        <f>IFERROR(D65/D23,0)</f>
        <v/>
      </c>
      <c r="E35" s="15">
        <f>IF(C35="","",D35-C35)</f>
        <v/>
      </c>
      <c r="F35" s="16">
        <f>IF(OR(C35="",C35=0),"",D35/C35)</f>
        <v/>
      </c>
      <c r="G35" s="5" t="n"/>
      <c r="H35" s="24" t="n"/>
      <c r="I35" s="24" t="n"/>
      <c r="J35" s="24" t="n"/>
      <c r="K35" s="24" t="n"/>
    </row>
    <row r="36"/>
    <row r="37">
      <c r="A37" s="20" t="inlineStr">
        <is>
          <t>3. 集客チャネル別（知ったきっかけ）</t>
        </is>
      </c>
      <c r="B37" s="21" t="n"/>
      <c r="C37" s="21" t="n"/>
      <c r="D37" s="21" t="n"/>
      <c r="E37" s="21" t="n"/>
      <c r="F37" s="31" t="inlineStr">
        <is>
          <t>受付で全員に「どこで知りましたか」を聞く（運用マニュアル9-3）</t>
        </is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</row>
    <row r="38">
      <c r="A38" s="12" t="inlineStr"/>
      <c r="B38" s="12" t="inlineStr">
        <is>
          <t>チャネル</t>
        </is>
      </c>
      <c r="C38" s="12" t="inlineStr">
        <is>
          <t>計画（名）</t>
        </is>
      </c>
      <c r="D38" s="12" t="inlineStr">
        <is>
          <t>申込（名）</t>
        </is>
      </c>
      <c r="E38" s="12" t="inlineStr">
        <is>
          <t>参加（名）</t>
        </is>
      </c>
      <c r="F38" s="12" t="inlineStr">
        <is>
          <t>男性（参加）</t>
        </is>
      </c>
      <c r="G38" s="12" t="inlineStr">
        <is>
          <t>女性（参加）</t>
        </is>
      </c>
      <c r="H38" s="12" t="inlineStr">
        <is>
          <t>構成比（参加）</t>
        </is>
      </c>
      <c r="I38" s="12" t="inlineStr">
        <is>
          <t>メモ</t>
        </is>
      </c>
      <c r="J38" s="25" t="n"/>
      <c r="K38" s="26" t="n"/>
    </row>
    <row r="39">
      <c r="B39" s="3" t="inlineStr">
        <is>
          <t>Instagram</t>
        </is>
      </c>
      <c r="C39" s="30" t="n"/>
      <c r="D39" s="15">
        <f>COUNTIF($I$112:$I$151,B39)</f>
        <v/>
      </c>
      <c r="E39" s="15">
        <f>COUNTIFS($L$112:$L$151,"参加",$I$112:$I$151,B39)</f>
        <v/>
      </c>
      <c r="F39" s="15">
        <f>COUNTIFS($L$112:$L$151,"参加",$I$112:$I$151,B39,$D$112:$D$151,"男性")</f>
        <v/>
      </c>
      <c r="G39" s="15">
        <f>COUNTIFS($L$112:$L$151,"参加",$I$112:$I$151,B39,$D$112:$D$151,"女性")</f>
        <v/>
      </c>
      <c r="H39" s="16">
        <f>IFERROR(E39/E$48,0)</f>
        <v/>
      </c>
      <c r="I39" s="5" t="n"/>
      <c r="J39" s="24" t="n"/>
      <c r="K39" s="24" t="n"/>
    </row>
    <row r="40">
      <c r="B40" s="3" t="inlineStr">
        <is>
          <t>Meta広告</t>
        </is>
      </c>
      <c r="C40" s="30" t="n">
        <v>13</v>
      </c>
      <c r="D40" s="15">
        <f>COUNTIF($I$112:$I$151,B40)</f>
        <v/>
      </c>
      <c r="E40" s="15">
        <f>COUNTIFS($L$112:$L$151,"参加",$I$112:$I$151,B40)</f>
        <v/>
      </c>
      <c r="F40" s="15">
        <f>COUNTIFS($L$112:$L$151,"参加",$I$112:$I$151,B40,$D$112:$D$151,"男性")</f>
        <v/>
      </c>
      <c r="G40" s="15">
        <f>COUNTIFS($L$112:$L$151,"参加",$I$112:$I$151,B40,$D$112:$D$151,"女性")</f>
        <v/>
      </c>
      <c r="H40" s="16">
        <f>IFERROR(E40/E$48,0)</f>
        <v/>
      </c>
      <c r="I40" s="5" t="inlineStr">
        <is>
          <t>計画11〜15名の中央値（Meta広告ガイド5-3）</t>
        </is>
      </c>
      <c r="J40" s="24" t="n"/>
      <c r="K40" s="24" t="n"/>
    </row>
    <row r="41">
      <c r="B41" s="3" t="inlineStr">
        <is>
          <t>LINE</t>
        </is>
      </c>
      <c r="C41" s="30" t="n"/>
      <c r="D41" s="15">
        <f>COUNTIF($I$112:$I$151,B41)</f>
        <v/>
      </c>
      <c r="E41" s="15">
        <f>COUNTIFS($L$112:$L$151,"参加",$I$112:$I$151,B41)</f>
        <v/>
      </c>
      <c r="F41" s="15">
        <f>COUNTIFS($L$112:$L$151,"参加",$I$112:$I$151,B41,$D$112:$D$151,"男性")</f>
        <v/>
      </c>
      <c r="G41" s="15">
        <f>COUNTIFS($L$112:$L$151,"参加",$I$112:$I$151,B41,$D$112:$D$151,"女性")</f>
        <v/>
      </c>
      <c r="H41" s="16">
        <f>IFERROR(E41/E$48,0)</f>
        <v/>
      </c>
      <c r="I41" s="5" t="n"/>
      <c r="J41" s="24" t="n"/>
      <c r="K41" s="24" t="n"/>
    </row>
    <row r="42">
      <c r="B42" s="3" t="inlineStr">
        <is>
          <t>知人・紹介</t>
        </is>
      </c>
      <c r="C42" s="30" t="n">
        <v>17</v>
      </c>
      <c r="D42" s="15">
        <f>COUNTIF($I$112:$I$151,B42)</f>
        <v/>
      </c>
      <c r="E42" s="15">
        <f>COUNTIFS($L$112:$L$151,"参加",$I$112:$I$151,B42)</f>
        <v/>
      </c>
      <c r="F42" s="15">
        <f>COUNTIFS($L$112:$L$151,"参加",$I$112:$I$151,B42,$D$112:$D$151,"男性")</f>
        <v/>
      </c>
      <c r="G42" s="15">
        <f>COUNTIFS($L$112:$L$151,"参加",$I$112:$I$151,B42,$D$112:$D$151,"女性")</f>
        <v/>
      </c>
      <c r="H42" s="16">
        <f>IFERROR(E42/E$48,0)</f>
        <v/>
      </c>
      <c r="I42" s="5" t="inlineStr">
        <is>
          <t>ツテ・オーガニック計画15〜19名の中央値（同5-3）</t>
        </is>
      </c>
      <c r="J42" s="24" t="n"/>
      <c r="K42" s="24" t="n"/>
    </row>
    <row r="43">
      <c r="B43" s="3" t="inlineStr">
        <is>
          <t>以前参加</t>
        </is>
      </c>
      <c r="C43" s="30" t="n"/>
      <c r="D43" s="15">
        <f>COUNTIF($I$112:$I$151,B43)</f>
        <v/>
      </c>
      <c r="E43" s="15">
        <f>COUNTIFS($L$112:$L$151,"参加",$I$112:$I$151,B43)</f>
        <v/>
      </c>
      <c r="F43" s="15">
        <f>COUNTIFS($L$112:$L$151,"参加",$I$112:$I$151,B43,$D$112:$D$151,"男性")</f>
        <v/>
      </c>
      <c r="G43" s="15">
        <f>COUNTIFS($L$112:$L$151,"参加",$I$112:$I$151,B43,$D$112:$D$151,"女性")</f>
        <v/>
      </c>
      <c r="H43" s="16">
        <f>IFERROR(E43/E$48,0)</f>
        <v/>
      </c>
      <c r="I43" s="5" t="n"/>
      <c r="J43" s="24" t="n"/>
      <c r="K43" s="24" t="n"/>
    </row>
    <row r="44">
      <c r="B44" s="3" t="inlineStr">
        <is>
          <t>イベントサイト</t>
        </is>
      </c>
      <c r="C44" s="30" t="n"/>
      <c r="D44" s="15">
        <f>COUNTIF($I$112:$I$151,B44)</f>
        <v/>
      </c>
      <c r="E44" s="15">
        <f>COUNTIFS($L$112:$L$151,"参加",$I$112:$I$151,B44)</f>
        <v/>
      </c>
      <c r="F44" s="15">
        <f>COUNTIFS($L$112:$L$151,"参加",$I$112:$I$151,B44,$D$112:$D$151,"男性")</f>
        <v/>
      </c>
      <c r="G44" s="15">
        <f>COUNTIFS($L$112:$L$151,"参加",$I$112:$I$151,B44,$D$112:$D$151,"女性")</f>
        <v/>
      </c>
      <c r="H44" s="16">
        <f>IFERROR(E44/E$48,0)</f>
        <v/>
      </c>
      <c r="I44" s="5" t="n"/>
      <c r="J44" s="24" t="n"/>
      <c r="K44" s="24" t="n"/>
    </row>
    <row r="45">
      <c r="B45" s="3" t="inlineStr">
        <is>
          <t>メールマガジン</t>
        </is>
      </c>
      <c r="C45" s="30" t="n"/>
      <c r="D45" s="15">
        <f>COUNTIF($I$112:$I$151,B45)</f>
        <v/>
      </c>
      <c r="E45" s="15">
        <f>COUNTIFS($L$112:$L$151,"参加",$I$112:$I$151,B45)</f>
        <v/>
      </c>
      <c r="F45" s="15">
        <f>COUNTIFS($L$112:$L$151,"参加",$I$112:$I$151,B45,$D$112:$D$151,"男性")</f>
        <v/>
      </c>
      <c r="G45" s="15">
        <f>COUNTIFS($L$112:$L$151,"参加",$I$112:$I$151,B45,$D$112:$D$151,"女性")</f>
        <v/>
      </c>
      <c r="H45" s="16">
        <f>IFERROR(E45/E$48,0)</f>
        <v/>
      </c>
      <c r="I45" s="5" t="n"/>
      <c r="J45" s="24" t="n"/>
      <c r="K45" s="24" t="n"/>
    </row>
    <row r="46">
      <c r="B46" s="3" t="inlineStr">
        <is>
          <t>検索</t>
        </is>
      </c>
      <c r="C46" s="30" t="n"/>
      <c r="D46" s="15">
        <f>COUNTIF($I$112:$I$151,B46)</f>
        <v/>
      </c>
      <c r="E46" s="15">
        <f>COUNTIFS($L$112:$L$151,"参加",$I$112:$I$151,B46)</f>
        <v/>
      </c>
      <c r="F46" s="15">
        <f>COUNTIFS($L$112:$L$151,"参加",$I$112:$I$151,B46,$D$112:$D$151,"男性")</f>
        <v/>
      </c>
      <c r="G46" s="15">
        <f>COUNTIFS($L$112:$L$151,"参加",$I$112:$I$151,B46,$D$112:$D$151,"女性")</f>
        <v/>
      </c>
      <c r="H46" s="16">
        <f>IFERROR(E46/E$48,0)</f>
        <v/>
      </c>
      <c r="I46" s="5" t="n"/>
      <c r="J46" s="24" t="n"/>
      <c r="K46" s="24" t="n"/>
    </row>
    <row r="47">
      <c r="B47" s="3" t="inlineStr">
        <is>
          <t>その他</t>
        </is>
      </c>
      <c r="C47" s="30" t="n"/>
      <c r="D47" s="15">
        <f>COUNTIF($I$112:$I$151,B47)</f>
        <v/>
      </c>
      <c r="E47" s="15">
        <f>COUNTIFS($L$112:$L$151,"参加",$I$112:$I$151,B47)</f>
        <v/>
      </c>
      <c r="F47" s="15">
        <f>COUNTIFS($L$112:$L$151,"参加",$I$112:$I$151,B47,$D$112:$D$151,"男性")</f>
        <v/>
      </c>
      <c r="G47" s="15">
        <f>COUNTIFS($L$112:$L$151,"参加",$I$112:$I$151,B47,$D$112:$D$151,"女性")</f>
        <v/>
      </c>
      <c r="H47" s="16">
        <f>IFERROR(E47/E$48,0)</f>
        <v/>
      </c>
      <c r="I47" s="5" t="n"/>
      <c r="J47" s="24" t="n"/>
      <c r="K47" s="24" t="n"/>
    </row>
    <row r="48">
      <c r="B48" s="18" t="inlineStr">
        <is>
          <t>合計</t>
        </is>
      </c>
      <c r="C48" s="19">
        <f>SUM(C39:C47)</f>
        <v/>
      </c>
      <c r="D48" s="19">
        <f>SUM(D39:D47)</f>
        <v/>
      </c>
      <c r="E48" s="19">
        <f>SUM(E39:E47)</f>
        <v/>
      </c>
      <c r="F48" s="19">
        <f>SUM(F39:F47)</f>
        <v/>
      </c>
      <c r="G48" s="19">
        <f>SUM(G39:G47)</f>
        <v/>
      </c>
      <c r="H48" s="16">
        <f>SUM(H39:H47)</f>
        <v/>
      </c>
      <c r="I48" s="6">
        <f>IF(D48&lt;&gt;D22,"※きっかけ未入力の申込者あり","")</f>
        <v/>
      </c>
      <c r="J48" s="25" t="n"/>
      <c r="K48" s="26" t="n"/>
    </row>
    <row r="49"/>
    <row r="50">
      <c r="A50" s="20" t="inlineStr">
        <is>
          <t>4. 収支（円・税込）</t>
        </is>
      </c>
      <c r="B50" s="21" t="n"/>
      <c r="C50" s="21" t="n"/>
      <c r="D50" s="21" t="n"/>
      <c r="E50" s="21" t="n"/>
      <c r="F50" s="31" t="inlineStr">
        <is>
          <t>計画は実施前の見込み。実績の会費・物販・ワイン仕入・広告費は自動集計</t>
        </is>
      </c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</row>
    <row r="51">
      <c r="A51" s="12" t="inlineStr"/>
      <c r="B51" s="12" t="inlineStr">
        <is>
          <t>項目</t>
        </is>
      </c>
      <c r="C51" s="12" t="inlineStr">
        <is>
          <t>計画（実施前）</t>
        </is>
      </c>
      <c r="D51" s="12" t="inlineStr">
        <is>
          <t>実績（実施後）</t>
        </is>
      </c>
      <c r="E51" s="12" t="inlineStr">
        <is>
          <t>差異</t>
        </is>
      </c>
      <c r="F51" s="12" t="inlineStr"/>
      <c r="G51" s="12" t="inlineStr">
        <is>
          <t>メモ</t>
        </is>
      </c>
      <c r="H51" s="25" t="n"/>
      <c r="I51" s="25" t="n"/>
      <c r="J51" s="25" t="n"/>
      <c r="K51" s="26" t="n"/>
    </row>
    <row r="52">
      <c r="B52" s="3" t="inlineStr">
        <is>
          <t>売上：会費収入</t>
        </is>
      </c>
      <c r="C52" s="15">
        <f>C23*C14</f>
        <v/>
      </c>
      <c r="D52" s="15">
        <f>SUM($M$112:$M$151)</f>
        <v/>
      </c>
      <c r="E52" s="15">
        <f>D52-C52</f>
        <v/>
      </c>
      <c r="F52" s="9" t="n"/>
      <c r="G52" s="5" t="n"/>
      <c r="H52" s="24" t="n"/>
      <c r="I52" s="24" t="n"/>
      <c r="J52" s="24" t="n"/>
      <c r="K52" s="24" t="n"/>
    </row>
    <row r="53">
      <c r="B53" s="3" t="inlineStr">
        <is>
          <t>売上：ワイン物販</t>
        </is>
      </c>
      <c r="C53" s="30" t="n"/>
      <c r="D53" s="15">
        <f>SUM($O$112:$O$151)</f>
        <v/>
      </c>
      <c r="E53" s="15">
        <f>D53-C53</f>
        <v/>
      </c>
      <c r="F53" s="9" t="n"/>
      <c r="G53" s="5" t="n"/>
      <c r="H53" s="24" t="n"/>
      <c r="I53" s="24" t="n"/>
      <c r="J53" s="24" t="n"/>
      <c r="K53" s="24" t="n"/>
    </row>
    <row r="54">
      <c r="B54" s="3" t="inlineStr">
        <is>
          <t>売上：その他</t>
        </is>
      </c>
      <c r="C54" s="30" t="n"/>
      <c r="D54" s="30" t="n"/>
      <c r="E54" s="15">
        <f>D54-C54</f>
        <v/>
      </c>
      <c r="F54" s="9" t="n"/>
      <c r="G54" s="5" t="n"/>
      <c r="H54" s="24" t="n"/>
      <c r="I54" s="24" t="n"/>
      <c r="J54" s="24" t="n"/>
      <c r="K54" s="24" t="n"/>
    </row>
    <row r="55">
      <c r="B55" s="18" t="inlineStr">
        <is>
          <t>売上 合計</t>
        </is>
      </c>
      <c r="C55" s="19">
        <f>SUM(C52:C54)</f>
        <v/>
      </c>
      <c r="D55" s="19">
        <f>SUM(D52:D54)</f>
        <v/>
      </c>
      <c r="E55" s="15">
        <f>D55-C55</f>
        <v/>
      </c>
      <c r="F55" s="9" t="n"/>
      <c r="G55" s="5" t="n"/>
      <c r="H55" s="24" t="n"/>
      <c r="I55" s="24" t="n"/>
      <c r="J55" s="24" t="n"/>
      <c r="K55" s="24" t="n"/>
    </row>
    <row r="56">
      <c r="B56" s="3" t="inlineStr">
        <is>
          <t>費用：ワイン仕入</t>
        </is>
      </c>
      <c r="C56" s="30" t="n"/>
      <c r="D56" s="15">
        <f>I89</f>
        <v/>
      </c>
      <c r="E56" s="15">
        <f>D56-C56</f>
        <v/>
      </c>
      <c r="F56" s="9" t="n"/>
      <c r="G56" s="5" t="n"/>
      <c r="H56" s="24" t="n"/>
      <c r="I56" s="24" t="n"/>
      <c r="J56" s="24" t="n"/>
      <c r="K56" s="24" t="n"/>
    </row>
    <row r="57">
      <c r="B57" s="3" t="inlineStr">
        <is>
          <t>費用：おつまみ・フード</t>
        </is>
      </c>
      <c r="C57" s="30" t="n"/>
      <c r="D57" s="30" t="n"/>
      <c r="E57" s="15">
        <f>D57-C57</f>
        <v/>
      </c>
      <c r="F57" s="9" t="n"/>
      <c r="G57" s="5" t="n"/>
      <c r="H57" s="24" t="n"/>
      <c r="I57" s="24" t="n"/>
      <c r="J57" s="24" t="n"/>
      <c r="K57" s="24" t="n"/>
    </row>
    <row r="58">
      <c r="B58" s="3" t="inlineStr">
        <is>
          <t>費用：会場費</t>
        </is>
      </c>
      <c r="C58" s="30" t="n"/>
      <c r="D58" s="30" t="n"/>
      <c r="E58" s="15">
        <f>D58-C58</f>
        <v/>
      </c>
      <c r="F58" s="9" t="n"/>
      <c r="G58" s="5" t="n"/>
      <c r="H58" s="24" t="n"/>
      <c r="I58" s="24" t="n"/>
      <c r="J58" s="24" t="n"/>
      <c r="K58" s="24" t="n"/>
    </row>
    <row r="59">
      <c r="B59" s="3" t="inlineStr">
        <is>
          <t>費用：広告費</t>
        </is>
      </c>
      <c r="C59" s="30" t="n">
        <v>30000</v>
      </c>
      <c r="D59" s="15">
        <f>E75</f>
        <v/>
      </c>
      <c r="E59" s="15">
        <f>D59-C59</f>
        <v/>
      </c>
      <c r="F59" s="9" t="n"/>
      <c r="G59" s="5" t="inlineStr">
        <is>
          <t>総予算30,000円（Meta広告ガイド5-1）</t>
        </is>
      </c>
      <c r="H59" s="24" t="n"/>
      <c r="I59" s="24" t="n"/>
      <c r="J59" s="24" t="n"/>
      <c r="K59" s="24" t="n"/>
    </row>
    <row r="60">
      <c r="B60" s="3" t="inlineStr">
        <is>
          <t>費用：決済手数料</t>
        </is>
      </c>
      <c r="C60" s="30" t="n"/>
      <c r="D60" s="30" t="n"/>
      <c r="E60" s="15">
        <f>D60-C60</f>
        <v/>
      </c>
      <c r="F60" s="9" t="n"/>
      <c r="G60" s="5" t="n"/>
      <c r="H60" s="24" t="n"/>
      <c r="I60" s="24" t="n"/>
      <c r="J60" s="24" t="n"/>
      <c r="K60" s="24" t="n"/>
    </row>
    <row r="61">
      <c r="B61" s="3" t="inlineStr">
        <is>
          <t>費用：人件費・謝礼</t>
        </is>
      </c>
      <c r="C61" s="30" t="n"/>
      <c r="D61" s="30" t="n"/>
      <c r="E61" s="15">
        <f>D61-C61</f>
        <v/>
      </c>
      <c r="F61" s="9" t="n"/>
      <c r="G61" s="5" t="n"/>
      <c r="H61" s="24" t="n"/>
      <c r="I61" s="24" t="n"/>
      <c r="J61" s="24" t="n"/>
      <c r="K61" s="24" t="n"/>
    </row>
    <row r="62">
      <c r="B62" s="3" t="inlineStr">
        <is>
          <t>費用：備品・印刷・消耗品</t>
        </is>
      </c>
      <c r="C62" s="30" t="n"/>
      <c r="D62" s="30" t="n"/>
      <c r="E62" s="15">
        <f>D62-C62</f>
        <v/>
      </c>
      <c r="F62" s="9" t="n"/>
      <c r="G62" s="5" t="n"/>
      <c r="H62" s="24" t="n"/>
      <c r="I62" s="24" t="n"/>
      <c r="J62" s="24" t="n"/>
      <c r="K62" s="24" t="n"/>
    </row>
    <row r="63">
      <c r="B63" s="3" t="inlineStr">
        <is>
          <t>費用：その他</t>
        </is>
      </c>
      <c r="C63" s="30" t="n"/>
      <c r="D63" s="30" t="n"/>
      <c r="E63" s="15">
        <f>D63-C63</f>
        <v/>
      </c>
      <c r="F63" s="9" t="n"/>
      <c r="G63" s="5" t="n"/>
      <c r="H63" s="24" t="n"/>
      <c r="I63" s="24" t="n"/>
      <c r="J63" s="24" t="n"/>
      <c r="K63" s="24" t="n"/>
    </row>
    <row r="64">
      <c r="B64" s="18" t="inlineStr">
        <is>
          <t>費用 合計</t>
        </is>
      </c>
      <c r="C64" s="19">
        <f>SUM(C56:C63)</f>
        <v/>
      </c>
      <c r="D64" s="19">
        <f>SUM(D56:D63)</f>
        <v/>
      </c>
      <c r="E64" s="15">
        <f>D64-C64</f>
        <v/>
      </c>
      <c r="F64" s="9" t="n"/>
      <c r="G64" s="5" t="n"/>
      <c r="H64" s="24" t="n"/>
      <c r="I64" s="24" t="n"/>
      <c r="J64" s="24" t="n"/>
      <c r="K64" s="24" t="n"/>
    </row>
    <row r="65">
      <c r="B65" s="18" t="inlineStr">
        <is>
          <t>粗利（売上−費用）</t>
        </is>
      </c>
      <c r="C65" s="19">
        <f>C55-C64</f>
        <v/>
      </c>
      <c r="D65" s="19">
        <f>D55-D64</f>
        <v/>
      </c>
      <c r="E65" s="15">
        <f>D65-C65</f>
        <v/>
      </c>
      <c r="F65" s="9" t="n"/>
      <c r="G65" s="5" t="n"/>
      <c r="H65" s="24" t="n"/>
      <c r="I65" s="24" t="n"/>
      <c r="J65" s="24" t="n"/>
      <c r="K65" s="24" t="n"/>
    </row>
    <row r="66">
      <c r="B66" s="18" t="inlineStr">
        <is>
          <t>粗利率</t>
        </is>
      </c>
      <c r="C66" s="16">
        <f>IFERROR(C65/C55,0)</f>
        <v/>
      </c>
      <c r="D66" s="16">
        <f>IFERROR(D65/D55,0)</f>
        <v/>
      </c>
      <c r="E66" s="6">
        <f>""</f>
        <v/>
      </c>
      <c r="F66" s="9" t="n"/>
      <c r="G66" s="5" t="n"/>
      <c r="H66" s="24" t="n"/>
      <c r="I66" s="24" t="n"/>
      <c r="J66" s="24" t="n"/>
      <c r="K66" s="24" t="n"/>
    </row>
    <row r="67">
      <c r="B67" s="18" t="inlineStr">
        <is>
          <t>広告CPA（広告費÷広告経由参加者）</t>
        </is>
      </c>
      <c r="C67" s="30" t="n">
        <v>3000</v>
      </c>
      <c r="D67" s="15">
        <f>IFERROR(D59/E40,0)</f>
        <v/>
      </c>
      <c r="E67" s="15">
        <f>D67-C67</f>
        <v/>
      </c>
      <c r="F67" s="9" t="n"/>
      <c r="G67" s="5" t="inlineStr">
        <is>
          <t>基準3,000円／許容上限5,000円（同5-4）</t>
        </is>
      </c>
      <c r="H67" s="24" t="n"/>
      <c r="I67" s="24" t="n"/>
      <c r="J67" s="24" t="n"/>
      <c r="K67" s="24" t="n"/>
    </row>
    <row r="68"/>
    <row r="69">
      <c r="A69" s="20" t="inlineStr">
        <is>
          <t>5. 広告実績（Meta広告など）</t>
        </is>
      </c>
      <c r="B69" s="21" t="n"/>
      <c r="C69" s="21" t="n"/>
      <c r="D69" s="21" t="n"/>
      <c r="E69" s="21" t="n"/>
      <c r="F69" s="31" t="inlineStr">
        <is>
          <t>広告を出さない回は空欄のままでよい。記録の残し方はMeta広告ガイド9-5</t>
        </is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s="12" t="inlineStr"/>
      <c r="B70" s="12" t="inlineStr">
        <is>
          <t>広告セット</t>
        </is>
      </c>
      <c r="C70" s="12" t="inlineStr">
        <is>
          <t>配信期間</t>
        </is>
      </c>
      <c r="D70" s="12" t="inlineStr">
        <is>
          <t>予算（円）</t>
        </is>
      </c>
      <c r="E70" s="12" t="inlineStr">
        <is>
          <t>消化額（円）</t>
        </is>
      </c>
      <c r="F70" s="12" t="inlineStr">
        <is>
          <t>リード数</t>
        </is>
      </c>
      <c r="G70" s="12" t="inlineStr">
        <is>
          <t>CPL（円）</t>
        </is>
      </c>
      <c r="H70" s="12" t="inlineStr">
        <is>
          <t>広告経由参加</t>
        </is>
      </c>
      <c r="I70" s="12" t="inlineStr">
        <is>
          <t>CPA（円）</t>
        </is>
      </c>
      <c r="J70" s="12" t="inlineStr">
        <is>
          <t>メモ</t>
        </is>
      </c>
      <c r="K70" s="26" t="n"/>
    </row>
    <row r="71">
      <c r="B71" s="5" t="inlineStr">
        <is>
          <t>男性セット</t>
        </is>
      </c>
      <c r="C71" s="5" t="inlineStr">
        <is>
          <t>8/7〜8/30</t>
        </is>
      </c>
      <c r="D71" s="30" t="n">
        <v>9000</v>
      </c>
      <c r="E71" s="30" t="n"/>
      <c r="F71" s="30" t="n"/>
      <c r="G71" s="15">
        <f>IFERROR(E71/F71,0)</f>
        <v/>
      </c>
      <c r="H71" s="30" t="n"/>
      <c r="I71" s="15">
        <f>IFERROR(E71/H71,0)</f>
        <v/>
      </c>
      <c r="J71" s="5" t="n"/>
      <c r="K71" s="24" t="n"/>
    </row>
    <row r="72">
      <c r="B72" s="5" t="inlineStr">
        <is>
          <t>女性セット</t>
        </is>
      </c>
      <c r="C72" s="5" t="inlineStr">
        <is>
          <t>8/7〜8/30</t>
        </is>
      </c>
      <c r="D72" s="30" t="n">
        <v>17000</v>
      </c>
      <c r="E72" s="30" t="n"/>
      <c r="F72" s="30" t="n"/>
      <c r="G72" s="15">
        <f>IFERROR(E72/F72,0)</f>
        <v/>
      </c>
      <c r="H72" s="30" t="n"/>
      <c r="I72" s="15">
        <f>IFERROR(E72/H72,0)</f>
        <v/>
      </c>
      <c r="J72" s="5" t="n"/>
      <c r="K72" s="24" t="n"/>
    </row>
    <row r="73">
      <c r="B73" s="5" t="inlineStr">
        <is>
          <t>リターゲティング</t>
        </is>
      </c>
      <c r="C73" s="5" t="inlineStr">
        <is>
          <t>8/24〜8/30</t>
        </is>
      </c>
      <c r="D73" s="30" t="n">
        <v>3000</v>
      </c>
      <c r="E73" s="30" t="n"/>
      <c r="F73" s="30" t="n"/>
      <c r="G73" s="15">
        <f>IFERROR(E73/F73,0)</f>
        <v/>
      </c>
      <c r="H73" s="30" t="n"/>
      <c r="I73" s="15">
        <f>IFERROR(E73/H73,0)</f>
        <v/>
      </c>
      <c r="J73" s="5" t="n"/>
      <c r="K73" s="24" t="n"/>
    </row>
    <row r="74">
      <c r="B74" s="5" t="n"/>
      <c r="C74" s="5" t="n"/>
      <c r="D74" s="30" t="n"/>
      <c r="E74" s="30" t="n"/>
      <c r="F74" s="30" t="n"/>
      <c r="G74" s="15">
        <f>IFERROR(E74/F74,0)</f>
        <v/>
      </c>
      <c r="H74" s="30" t="n"/>
      <c r="I74" s="15">
        <f>IFERROR(E74/H74,0)</f>
        <v/>
      </c>
      <c r="J74" s="5" t="n"/>
      <c r="K74" s="24" t="n"/>
    </row>
    <row r="75">
      <c r="B75" s="18" t="inlineStr">
        <is>
          <t>合計</t>
        </is>
      </c>
      <c r="C75" s="6">
        <f>""</f>
        <v/>
      </c>
      <c r="D75" s="15">
        <f>SUM(D71:D74)</f>
        <v/>
      </c>
      <c r="E75" s="15">
        <f>SUM(E71:E74)</f>
        <v/>
      </c>
      <c r="F75" s="15">
        <f>SUM(F71:F74)</f>
        <v/>
      </c>
      <c r="G75" s="15">
        <f>IFERROR(E75/F75,0)</f>
        <v/>
      </c>
      <c r="H75" s="15">
        <f>SUM(H71:H74)</f>
        <v/>
      </c>
      <c r="I75" s="15">
        <f>IFERROR(E75/H75,0)</f>
        <v/>
      </c>
    </row>
    <row r="76"/>
    <row r="77">
      <c r="A77" s="20" t="inlineStr">
        <is>
          <t>6. 提供ワイン</t>
        </is>
      </c>
      <c r="B77" s="21" t="n"/>
      <c r="C77" s="21" t="n"/>
      <c r="D77" s="21" t="n"/>
      <c r="E77" s="21" t="n"/>
      <c r="F77" s="31" t="inlineStr">
        <is>
          <t>参加者の反応が良かった銘柄は次回・物販の判断材料にする</t>
        </is>
      </c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</row>
    <row r="78">
      <c r="A78" s="12" t="inlineStr">
        <is>
          <t>No</t>
        </is>
      </c>
      <c r="B78" s="12" t="inlineStr">
        <is>
          <t>銘柄</t>
        </is>
      </c>
      <c r="C78" s="12" t="inlineStr">
        <is>
          <t>生産者</t>
        </is>
      </c>
      <c r="D78" s="12" t="inlineStr">
        <is>
          <t>産地</t>
        </is>
      </c>
      <c r="E78" s="12" t="inlineStr">
        <is>
          <t>品種</t>
        </is>
      </c>
      <c r="F78" s="12" t="inlineStr">
        <is>
          <t>タイプ</t>
        </is>
      </c>
      <c r="G78" s="12" t="inlineStr">
        <is>
          <t>仕入単価（円）</t>
        </is>
      </c>
      <c r="H78" s="12" t="inlineStr">
        <is>
          <t>本数</t>
        </is>
      </c>
      <c r="I78" s="12" t="inlineStr">
        <is>
          <t>小計（円）</t>
        </is>
      </c>
      <c r="J78" s="12" t="inlineStr">
        <is>
          <t>反応・評価メモ</t>
        </is>
      </c>
      <c r="K78" s="26" t="n"/>
    </row>
    <row r="79">
      <c r="A79" s="34" t="n">
        <v>1</v>
      </c>
      <c r="B79" s="5" t="n"/>
      <c r="C79" s="5" t="n"/>
      <c r="D79" s="5" t="n"/>
      <c r="E79" s="5" t="n"/>
      <c r="F79" s="5" t="n"/>
      <c r="G79" s="30" t="n"/>
      <c r="H79" s="30" t="n"/>
      <c r="I79" s="15">
        <f>G79*H79</f>
        <v/>
      </c>
      <c r="J79" s="5" t="n"/>
      <c r="K79" s="24" t="n"/>
    </row>
    <row r="80">
      <c r="A80" s="34" t="n">
        <v>2</v>
      </c>
      <c r="B80" s="5" t="n"/>
      <c r="C80" s="5" t="n"/>
      <c r="D80" s="5" t="n"/>
      <c r="E80" s="5" t="n"/>
      <c r="F80" s="5" t="n"/>
      <c r="G80" s="30" t="n"/>
      <c r="H80" s="30" t="n"/>
      <c r="I80" s="15">
        <f>G80*H80</f>
        <v/>
      </c>
      <c r="J80" s="5" t="n"/>
      <c r="K80" s="24" t="n"/>
    </row>
    <row r="81">
      <c r="A81" s="34" t="n">
        <v>3</v>
      </c>
      <c r="B81" s="5" t="n"/>
      <c r="C81" s="5" t="n"/>
      <c r="D81" s="5" t="n"/>
      <c r="E81" s="5" t="n"/>
      <c r="F81" s="5" t="n"/>
      <c r="G81" s="30" t="n"/>
      <c r="H81" s="30" t="n"/>
      <c r="I81" s="15">
        <f>G81*H81</f>
        <v/>
      </c>
      <c r="J81" s="5" t="n"/>
      <c r="K81" s="24" t="n"/>
    </row>
    <row r="82">
      <c r="A82" s="34" t="n">
        <v>4</v>
      </c>
      <c r="B82" s="5" t="n"/>
      <c r="C82" s="5" t="n"/>
      <c r="D82" s="5" t="n"/>
      <c r="E82" s="5" t="n"/>
      <c r="F82" s="5" t="n"/>
      <c r="G82" s="30" t="n"/>
      <c r="H82" s="30" t="n"/>
      <c r="I82" s="15">
        <f>G82*H82</f>
        <v/>
      </c>
      <c r="J82" s="5" t="n"/>
      <c r="K82" s="24" t="n"/>
    </row>
    <row r="83">
      <c r="A83" s="34" t="n">
        <v>5</v>
      </c>
      <c r="B83" s="5" t="n"/>
      <c r="C83" s="5" t="n"/>
      <c r="D83" s="5" t="n"/>
      <c r="E83" s="5" t="n"/>
      <c r="F83" s="5" t="n"/>
      <c r="G83" s="30" t="n"/>
      <c r="H83" s="30" t="n"/>
      <c r="I83" s="15">
        <f>G83*H83</f>
        <v/>
      </c>
      <c r="J83" s="5" t="n"/>
      <c r="K83" s="24" t="n"/>
    </row>
    <row r="84">
      <c r="A84" s="34" t="n">
        <v>6</v>
      </c>
      <c r="B84" s="5" t="n"/>
      <c r="C84" s="5" t="n"/>
      <c r="D84" s="5" t="n"/>
      <c r="E84" s="5" t="n"/>
      <c r="F84" s="5" t="n"/>
      <c r="G84" s="30" t="n"/>
      <c r="H84" s="30" t="n"/>
      <c r="I84" s="15">
        <f>G84*H84</f>
        <v/>
      </c>
      <c r="J84" s="5" t="n"/>
      <c r="K84" s="24" t="n"/>
    </row>
    <row r="85">
      <c r="A85" s="34" t="n">
        <v>7</v>
      </c>
      <c r="B85" s="5" t="n"/>
      <c r="C85" s="5" t="n"/>
      <c r="D85" s="5" t="n"/>
      <c r="E85" s="5" t="n"/>
      <c r="F85" s="5" t="n"/>
      <c r="G85" s="30" t="n"/>
      <c r="H85" s="30" t="n"/>
      <c r="I85" s="15">
        <f>G85*H85</f>
        <v/>
      </c>
      <c r="J85" s="5" t="n"/>
      <c r="K85" s="24" t="n"/>
    </row>
    <row r="86">
      <c r="A86" s="34" t="n">
        <v>8</v>
      </c>
      <c r="B86" s="5" t="n"/>
      <c r="C86" s="5" t="n"/>
      <c r="D86" s="5" t="n"/>
      <c r="E86" s="5" t="n"/>
      <c r="F86" s="5" t="n"/>
      <c r="G86" s="30" t="n"/>
      <c r="H86" s="30" t="n"/>
      <c r="I86" s="15">
        <f>G86*H86</f>
        <v/>
      </c>
      <c r="J86" s="5" t="n"/>
      <c r="K86" s="24" t="n"/>
    </row>
    <row r="87">
      <c r="A87" s="34" t="n">
        <v>9</v>
      </c>
      <c r="B87" s="5" t="n"/>
      <c r="C87" s="5" t="n"/>
      <c r="D87" s="5" t="n"/>
      <c r="E87" s="5" t="n"/>
      <c r="F87" s="5" t="n"/>
      <c r="G87" s="30" t="n"/>
      <c r="H87" s="30" t="n"/>
      <c r="I87" s="15">
        <f>G87*H87</f>
        <v/>
      </c>
      <c r="J87" s="5" t="n"/>
      <c r="K87" s="24" t="n"/>
    </row>
    <row r="88">
      <c r="A88" s="34" t="n">
        <v>10</v>
      </c>
      <c r="B88" s="5" t="n"/>
      <c r="C88" s="5" t="n"/>
      <c r="D88" s="5" t="n"/>
      <c r="E88" s="5" t="n"/>
      <c r="F88" s="5" t="n"/>
      <c r="G88" s="30" t="n"/>
      <c r="H88" s="30" t="n"/>
      <c r="I88" s="15">
        <f>G88*H88</f>
        <v/>
      </c>
      <c r="J88" s="5" t="n"/>
      <c r="K88" s="24" t="n"/>
    </row>
    <row r="89">
      <c r="B89" s="18" t="inlineStr">
        <is>
          <t>合計</t>
        </is>
      </c>
      <c r="H89" s="15">
        <f>SUM(H79:H88)</f>
        <v/>
      </c>
      <c r="I89" s="15">
        <f>SUM(I79:I88)</f>
        <v/>
      </c>
    </row>
    <row r="90"/>
    <row r="91">
      <c r="A91" s="20" t="inlineStr">
        <is>
          <t>7. 当日の流れ（タイムテーブル）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s="12" t="inlineStr"/>
      <c r="B92" s="12" t="inlineStr">
        <is>
          <t>時刻</t>
        </is>
      </c>
      <c r="C92" s="12" t="inlineStr">
        <is>
          <t>内容</t>
        </is>
      </c>
      <c r="D92" s="25" t="n"/>
      <c r="E92" s="25" t="n"/>
      <c r="F92" s="26" t="n"/>
      <c r="G92" s="12" t="inlineStr">
        <is>
          <t>担当</t>
        </is>
      </c>
      <c r="H92" s="12" t="inlineStr">
        <is>
          <t>実際の進行・メモ</t>
        </is>
      </c>
      <c r="I92" s="25" t="n"/>
      <c r="J92" s="25" t="n"/>
      <c r="K92" s="26" t="n"/>
    </row>
    <row r="93">
      <c r="B93" s="29" t="n"/>
      <c r="C93" s="5" t="n"/>
      <c r="D93" s="24" t="n"/>
      <c r="E93" s="24" t="n"/>
      <c r="F93" s="24" t="n"/>
      <c r="G93" s="5" t="n"/>
      <c r="H93" s="5" t="n"/>
      <c r="I93" s="24" t="n"/>
      <c r="J93" s="24" t="n"/>
      <c r="K93" s="24" t="n"/>
    </row>
    <row r="94">
      <c r="B94" s="29" t="n"/>
      <c r="C94" s="5" t="n"/>
      <c r="D94" s="24" t="n"/>
      <c r="E94" s="24" t="n"/>
      <c r="F94" s="24" t="n"/>
      <c r="G94" s="5" t="n"/>
      <c r="H94" s="5" t="n"/>
      <c r="I94" s="24" t="n"/>
      <c r="J94" s="24" t="n"/>
      <c r="K94" s="24" t="n"/>
    </row>
    <row r="95">
      <c r="B95" s="29" t="n"/>
      <c r="C95" s="5" t="n"/>
      <c r="D95" s="24" t="n"/>
      <c r="E95" s="24" t="n"/>
      <c r="F95" s="24" t="n"/>
      <c r="G95" s="5" t="n"/>
      <c r="H95" s="5" t="n"/>
      <c r="I95" s="24" t="n"/>
      <c r="J95" s="24" t="n"/>
      <c r="K95" s="24" t="n"/>
    </row>
    <row r="96">
      <c r="B96" s="29" t="n"/>
      <c r="C96" s="5" t="n"/>
      <c r="D96" s="24" t="n"/>
      <c r="E96" s="24" t="n"/>
      <c r="F96" s="24" t="n"/>
      <c r="G96" s="5" t="n"/>
      <c r="H96" s="5" t="n"/>
      <c r="I96" s="24" t="n"/>
      <c r="J96" s="24" t="n"/>
      <c r="K96" s="24" t="n"/>
    </row>
    <row r="97">
      <c r="B97" s="29" t="n"/>
      <c r="C97" s="5" t="n"/>
      <c r="D97" s="24" t="n"/>
      <c r="E97" s="24" t="n"/>
      <c r="F97" s="24" t="n"/>
      <c r="G97" s="5" t="n"/>
      <c r="H97" s="5" t="n"/>
      <c r="I97" s="24" t="n"/>
      <c r="J97" s="24" t="n"/>
      <c r="K97" s="24" t="n"/>
    </row>
    <row r="98">
      <c r="B98" s="29" t="n"/>
      <c r="C98" s="5" t="n"/>
      <c r="D98" s="24" t="n"/>
      <c r="E98" s="24" t="n"/>
      <c r="F98" s="24" t="n"/>
      <c r="G98" s="5" t="n"/>
      <c r="H98" s="5" t="n"/>
      <c r="I98" s="24" t="n"/>
      <c r="J98" s="24" t="n"/>
      <c r="K98" s="24" t="n"/>
    </row>
    <row r="99">
      <c r="B99" s="29" t="n"/>
      <c r="C99" s="5" t="n"/>
      <c r="D99" s="24" t="n"/>
      <c r="E99" s="24" t="n"/>
      <c r="F99" s="24" t="n"/>
      <c r="G99" s="5" t="n"/>
      <c r="H99" s="5" t="n"/>
      <c r="I99" s="24" t="n"/>
      <c r="J99" s="24" t="n"/>
      <c r="K99" s="24" t="n"/>
    </row>
    <row r="100">
      <c r="B100" s="29" t="n"/>
      <c r="C100" s="5" t="n"/>
      <c r="D100" s="24" t="n"/>
      <c r="E100" s="24" t="n"/>
      <c r="F100" s="24" t="n"/>
      <c r="G100" s="5" t="n"/>
      <c r="H100" s="5" t="n"/>
      <c r="I100" s="24" t="n"/>
      <c r="J100" s="24" t="n"/>
      <c r="K100" s="24" t="n"/>
    </row>
    <row r="101"/>
    <row r="102">
      <c r="A102" s="20" t="inlineStr">
        <is>
          <t>8. 振り返り（実施後）</t>
        </is>
      </c>
      <c r="B102" s="21" t="n"/>
      <c r="C102" s="21" t="n"/>
      <c r="D102" s="21" t="n"/>
      <c r="E102" s="21" t="n"/>
      <c r="F102" s="31" t="inlineStr">
        <is>
          <t>開催後3日以内に記入 → 責任者が翌回の方針を判断</t>
        </is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</row>
    <row r="103" ht="48" customHeight="1">
      <c r="B103" s="18" t="inlineStr">
        <is>
          <t>良かった点</t>
        </is>
      </c>
      <c r="C103" s="35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 ht="48" customHeight="1">
      <c r="B104" s="18" t="inlineStr">
        <is>
          <t>課題・トラブル</t>
        </is>
      </c>
      <c r="C104" s="35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 ht="48" customHeight="1">
      <c r="B105" s="18" t="inlineStr">
        <is>
          <t>参加者の声（アンケート・会話から）</t>
        </is>
      </c>
      <c r="C105" s="35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 ht="48" customHeight="1">
      <c r="B106" s="18" t="inlineStr">
        <is>
          <t>集客の振り返り（どの階層で詰まったか）</t>
        </is>
      </c>
      <c r="C106" s="35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 ht="48" customHeight="1">
      <c r="B107" s="18" t="inlineStr">
        <is>
          <t>次回の改善アクション（3つまで）</t>
        </is>
      </c>
      <c r="C107" s="35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 ht="48" customHeight="1">
      <c r="B108" s="18" t="inlineStr">
        <is>
          <t>責任者の判断・次回方針</t>
        </is>
      </c>
      <c r="C108" s="35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/>
    <row r="110">
      <c r="A110" s="20" t="inlineStr">
        <is>
          <t>9. 参加者リスト</t>
        </is>
      </c>
      <c r="B110" s="21" t="n"/>
      <c r="C110" s="21" t="n"/>
      <c r="D110" s="21" t="n"/>
      <c r="E110" s="21" t="n"/>
      <c r="F110" s="31" t="inlineStr">
        <is>
          <t>個人情報を含むため、記入済みファイルはGitHubに置かず、閲覧権限を絞ったGoogleドライブで管理</t>
        </is>
      </c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</row>
    <row r="111" ht="32" customHeight="1">
      <c r="A111" s="12" t="inlineStr">
        <is>
          <t>No</t>
        </is>
      </c>
      <c r="B111" s="12" t="inlineStr">
        <is>
          <t>氏名</t>
        </is>
      </c>
      <c r="C111" s="12" t="inlineStr">
        <is>
          <t>フリガナ</t>
        </is>
      </c>
      <c r="D111" s="12" t="inlineStr">
        <is>
          <t>性別</t>
        </is>
      </c>
      <c r="E111" s="12" t="inlineStr">
        <is>
          <t>年代</t>
        </is>
      </c>
      <c r="F111" s="12" t="inlineStr">
        <is>
          <t>会社・所属</t>
        </is>
      </c>
      <c r="G111" s="12" t="inlineStr">
        <is>
          <t>役職</t>
        </is>
      </c>
      <c r="H111" s="12" t="inlineStr">
        <is>
          <t>新規/リピート</t>
        </is>
      </c>
      <c r="I111" s="12" t="inlineStr">
        <is>
          <t>知ったきっかけ</t>
        </is>
      </c>
      <c r="J111" s="12" t="inlineStr">
        <is>
          <t>申込日</t>
        </is>
      </c>
      <c r="K111" s="12" t="inlineStr">
        <is>
          <t>決済方法</t>
        </is>
      </c>
      <c r="L111" s="12" t="inlineStr">
        <is>
          <t>ステータス</t>
        </is>
      </c>
      <c r="M111" s="12" t="inlineStr">
        <is>
          <t>会費受領額（円）</t>
        </is>
      </c>
      <c r="N111" s="12" t="inlineStr">
        <is>
          <t>入金確認</t>
        </is>
      </c>
      <c r="O111" s="12" t="inlineStr">
        <is>
          <t>物販購入額（円）</t>
        </is>
      </c>
      <c r="P111" s="12" t="inlineStr">
        <is>
          <t>写真掲載</t>
        </is>
      </c>
      <c r="Q111" s="12" t="inlineStr">
        <is>
          <t>満足度（1-5）</t>
        </is>
      </c>
      <c r="R111" s="12" t="inlineStr">
        <is>
          <t>次回参加意向</t>
        </is>
      </c>
      <c r="S111" s="12" t="inlineStr">
        <is>
          <t>備考（アレルギー・領収書宛名など）</t>
        </is>
      </c>
    </row>
    <row r="112">
      <c r="A112" s="34" t="n">
        <v>1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7" t="n"/>
      <c r="K112" s="5" t="n"/>
      <c r="L112" s="5" t="n"/>
      <c r="M112" s="30" t="n"/>
      <c r="N112" s="5" t="n"/>
      <c r="O112" s="30" t="n"/>
      <c r="P112" s="5" t="n"/>
      <c r="Q112" s="30" t="n"/>
      <c r="R112" s="5" t="n"/>
      <c r="S112" s="5" t="n"/>
    </row>
    <row r="113">
      <c r="A113" s="34" t="n">
        <v>2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7" t="n"/>
      <c r="K113" s="5" t="n"/>
      <c r="L113" s="5" t="n"/>
      <c r="M113" s="30" t="n"/>
      <c r="N113" s="5" t="n"/>
      <c r="O113" s="30" t="n"/>
      <c r="P113" s="5" t="n"/>
      <c r="Q113" s="30" t="n"/>
      <c r="R113" s="5" t="n"/>
      <c r="S113" s="5" t="n"/>
    </row>
    <row r="114">
      <c r="A114" s="34" t="n">
        <v>3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7" t="n"/>
      <c r="K114" s="5" t="n"/>
      <c r="L114" s="5" t="n"/>
      <c r="M114" s="30" t="n"/>
      <c r="N114" s="5" t="n"/>
      <c r="O114" s="30" t="n"/>
      <c r="P114" s="5" t="n"/>
      <c r="Q114" s="30" t="n"/>
      <c r="R114" s="5" t="n"/>
      <c r="S114" s="5" t="n"/>
    </row>
    <row r="115">
      <c r="A115" s="34" t="n">
        <v>4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7" t="n"/>
      <c r="K115" s="5" t="n"/>
      <c r="L115" s="5" t="n"/>
      <c r="M115" s="30" t="n"/>
      <c r="N115" s="5" t="n"/>
      <c r="O115" s="30" t="n"/>
      <c r="P115" s="5" t="n"/>
      <c r="Q115" s="30" t="n"/>
      <c r="R115" s="5" t="n"/>
      <c r="S115" s="5" t="n"/>
    </row>
    <row r="116">
      <c r="A116" s="34" t="n">
        <v>5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7" t="n"/>
      <c r="K116" s="5" t="n"/>
      <c r="L116" s="5" t="n"/>
      <c r="M116" s="30" t="n"/>
      <c r="N116" s="5" t="n"/>
      <c r="O116" s="30" t="n"/>
      <c r="P116" s="5" t="n"/>
      <c r="Q116" s="30" t="n"/>
      <c r="R116" s="5" t="n"/>
      <c r="S116" s="5" t="n"/>
    </row>
    <row r="117">
      <c r="A117" s="34" t="n">
        <v>6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7" t="n"/>
      <c r="K117" s="5" t="n"/>
      <c r="L117" s="5" t="n"/>
      <c r="M117" s="30" t="n"/>
      <c r="N117" s="5" t="n"/>
      <c r="O117" s="30" t="n"/>
      <c r="P117" s="5" t="n"/>
      <c r="Q117" s="30" t="n"/>
      <c r="R117" s="5" t="n"/>
      <c r="S117" s="5" t="n"/>
    </row>
    <row r="118">
      <c r="A118" s="34" t="n">
        <v>7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7" t="n"/>
      <c r="K118" s="5" t="n"/>
      <c r="L118" s="5" t="n"/>
      <c r="M118" s="30" t="n"/>
      <c r="N118" s="5" t="n"/>
      <c r="O118" s="30" t="n"/>
      <c r="P118" s="5" t="n"/>
      <c r="Q118" s="30" t="n"/>
      <c r="R118" s="5" t="n"/>
      <c r="S118" s="5" t="n"/>
    </row>
    <row r="119">
      <c r="A119" s="34" t="n">
        <v>8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7" t="n"/>
      <c r="K119" s="5" t="n"/>
      <c r="L119" s="5" t="n"/>
      <c r="M119" s="30" t="n"/>
      <c r="N119" s="5" t="n"/>
      <c r="O119" s="30" t="n"/>
      <c r="P119" s="5" t="n"/>
      <c r="Q119" s="30" t="n"/>
      <c r="R119" s="5" t="n"/>
      <c r="S119" s="5" t="n"/>
    </row>
    <row r="120">
      <c r="A120" s="34" t="n">
        <v>9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7" t="n"/>
      <c r="K120" s="5" t="n"/>
      <c r="L120" s="5" t="n"/>
      <c r="M120" s="30" t="n"/>
      <c r="N120" s="5" t="n"/>
      <c r="O120" s="30" t="n"/>
      <c r="P120" s="5" t="n"/>
      <c r="Q120" s="30" t="n"/>
      <c r="R120" s="5" t="n"/>
      <c r="S120" s="5" t="n"/>
    </row>
    <row r="121">
      <c r="A121" s="34" t="n">
        <v>10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7" t="n"/>
      <c r="K121" s="5" t="n"/>
      <c r="L121" s="5" t="n"/>
      <c r="M121" s="30" t="n"/>
      <c r="N121" s="5" t="n"/>
      <c r="O121" s="30" t="n"/>
      <c r="P121" s="5" t="n"/>
      <c r="Q121" s="30" t="n"/>
      <c r="R121" s="5" t="n"/>
      <c r="S121" s="5" t="n"/>
    </row>
    <row r="122">
      <c r="A122" s="34" t="n">
        <v>11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7" t="n"/>
      <c r="K122" s="5" t="n"/>
      <c r="L122" s="5" t="n"/>
      <c r="M122" s="30" t="n"/>
      <c r="N122" s="5" t="n"/>
      <c r="O122" s="30" t="n"/>
      <c r="P122" s="5" t="n"/>
      <c r="Q122" s="30" t="n"/>
      <c r="R122" s="5" t="n"/>
      <c r="S122" s="5" t="n"/>
    </row>
    <row r="123">
      <c r="A123" s="34" t="n">
        <v>12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7" t="n"/>
      <c r="K123" s="5" t="n"/>
      <c r="L123" s="5" t="n"/>
      <c r="M123" s="30" t="n"/>
      <c r="N123" s="5" t="n"/>
      <c r="O123" s="30" t="n"/>
      <c r="P123" s="5" t="n"/>
      <c r="Q123" s="30" t="n"/>
      <c r="R123" s="5" t="n"/>
      <c r="S123" s="5" t="n"/>
    </row>
    <row r="124">
      <c r="A124" s="34" t="n">
        <v>13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7" t="n"/>
      <c r="K124" s="5" t="n"/>
      <c r="L124" s="5" t="n"/>
      <c r="M124" s="30" t="n"/>
      <c r="N124" s="5" t="n"/>
      <c r="O124" s="30" t="n"/>
      <c r="P124" s="5" t="n"/>
      <c r="Q124" s="30" t="n"/>
      <c r="R124" s="5" t="n"/>
      <c r="S124" s="5" t="n"/>
    </row>
    <row r="125">
      <c r="A125" s="34" t="n">
        <v>14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7" t="n"/>
      <c r="K125" s="5" t="n"/>
      <c r="L125" s="5" t="n"/>
      <c r="M125" s="30" t="n"/>
      <c r="N125" s="5" t="n"/>
      <c r="O125" s="30" t="n"/>
      <c r="P125" s="5" t="n"/>
      <c r="Q125" s="30" t="n"/>
      <c r="R125" s="5" t="n"/>
      <c r="S125" s="5" t="n"/>
    </row>
    <row r="126">
      <c r="A126" s="34" t="n">
        <v>15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7" t="n"/>
      <c r="K126" s="5" t="n"/>
      <c r="L126" s="5" t="n"/>
      <c r="M126" s="30" t="n"/>
      <c r="N126" s="5" t="n"/>
      <c r="O126" s="30" t="n"/>
      <c r="P126" s="5" t="n"/>
      <c r="Q126" s="30" t="n"/>
      <c r="R126" s="5" t="n"/>
      <c r="S126" s="5" t="n"/>
    </row>
    <row r="127">
      <c r="A127" s="34" t="n">
        <v>16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7" t="n"/>
      <c r="K127" s="5" t="n"/>
      <c r="L127" s="5" t="n"/>
      <c r="M127" s="30" t="n"/>
      <c r="N127" s="5" t="n"/>
      <c r="O127" s="30" t="n"/>
      <c r="P127" s="5" t="n"/>
      <c r="Q127" s="30" t="n"/>
      <c r="R127" s="5" t="n"/>
      <c r="S127" s="5" t="n"/>
    </row>
    <row r="128">
      <c r="A128" s="34" t="n">
        <v>17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7" t="n"/>
      <c r="K128" s="5" t="n"/>
      <c r="L128" s="5" t="n"/>
      <c r="M128" s="30" t="n"/>
      <c r="N128" s="5" t="n"/>
      <c r="O128" s="30" t="n"/>
      <c r="P128" s="5" t="n"/>
      <c r="Q128" s="30" t="n"/>
      <c r="R128" s="5" t="n"/>
      <c r="S128" s="5" t="n"/>
    </row>
    <row r="129">
      <c r="A129" s="34" t="n">
        <v>18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7" t="n"/>
      <c r="K129" s="5" t="n"/>
      <c r="L129" s="5" t="n"/>
      <c r="M129" s="30" t="n"/>
      <c r="N129" s="5" t="n"/>
      <c r="O129" s="30" t="n"/>
      <c r="P129" s="5" t="n"/>
      <c r="Q129" s="30" t="n"/>
      <c r="R129" s="5" t="n"/>
      <c r="S129" s="5" t="n"/>
    </row>
    <row r="130">
      <c r="A130" s="34" t="n">
        <v>19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27" t="n"/>
      <c r="K130" s="5" t="n"/>
      <c r="L130" s="5" t="n"/>
      <c r="M130" s="30" t="n"/>
      <c r="N130" s="5" t="n"/>
      <c r="O130" s="30" t="n"/>
      <c r="P130" s="5" t="n"/>
      <c r="Q130" s="30" t="n"/>
      <c r="R130" s="5" t="n"/>
      <c r="S130" s="5" t="n"/>
    </row>
    <row r="131">
      <c r="A131" s="34" t="n">
        <v>20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27" t="n"/>
      <c r="K131" s="5" t="n"/>
      <c r="L131" s="5" t="n"/>
      <c r="M131" s="30" t="n"/>
      <c r="N131" s="5" t="n"/>
      <c r="O131" s="30" t="n"/>
      <c r="P131" s="5" t="n"/>
      <c r="Q131" s="30" t="n"/>
      <c r="R131" s="5" t="n"/>
      <c r="S131" s="5" t="n"/>
    </row>
    <row r="132">
      <c r="A132" s="34" t="n">
        <v>21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27" t="n"/>
      <c r="K132" s="5" t="n"/>
      <c r="L132" s="5" t="n"/>
      <c r="M132" s="30" t="n"/>
      <c r="N132" s="5" t="n"/>
      <c r="O132" s="30" t="n"/>
      <c r="P132" s="5" t="n"/>
      <c r="Q132" s="30" t="n"/>
      <c r="R132" s="5" t="n"/>
      <c r="S132" s="5" t="n"/>
    </row>
    <row r="133">
      <c r="A133" s="34" t="n">
        <v>22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27" t="n"/>
      <c r="K133" s="5" t="n"/>
      <c r="L133" s="5" t="n"/>
      <c r="M133" s="30" t="n"/>
      <c r="N133" s="5" t="n"/>
      <c r="O133" s="30" t="n"/>
      <c r="P133" s="5" t="n"/>
      <c r="Q133" s="30" t="n"/>
      <c r="R133" s="5" t="n"/>
      <c r="S133" s="5" t="n"/>
    </row>
    <row r="134">
      <c r="A134" s="34" t="n">
        <v>23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27" t="n"/>
      <c r="K134" s="5" t="n"/>
      <c r="L134" s="5" t="n"/>
      <c r="M134" s="30" t="n"/>
      <c r="N134" s="5" t="n"/>
      <c r="O134" s="30" t="n"/>
      <c r="P134" s="5" t="n"/>
      <c r="Q134" s="30" t="n"/>
      <c r="R134" s="5" t="n"/>
      <c r="S134" s="5" t="n"/>
    </row>
    <row r="135">
      <c r="A135" s="34" t="n">
        <v>24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27" t="n"/>
      <c r="K135" s="5" t="n"/>
      <c r="L135" s="5" t="n"/>
      <c r="M135" s="30" t="n"/>
      <c r="N135" s="5" t="n"/>
      <c r="O135" s="30" t="n"/>
      <c r="P135" s="5" t="n"/>
      <c r="Q135" s="30" t="n"/>
      <c r="R135" s="5" t="n"/>
      <c r="S135" s="5" t="n"/>
    </row>
    <row r="136">
      <c r="A136" s="34" t="n">
        <v>25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27" t="n"/>
      <c r="K136" s="5" t="n"/>
      <c r="L136" s="5" t="n"/>
      <c r="M136" s="30" t="n"/>
      <c r="N136" s="5" t="n"/>
      <c r="O136" s="30" t="n"/>
      <c r="P136" s="5" t="n"/>
      <c r="Q136" s="30" t="n"/>
      <c r="R136" s="5" t="n"/>
      <c r="S136" s="5" t="n"/>
    </row>
    <row r="137">
      <c r="A137" s="34" t="n">
        <v>26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27" t="n"/>
      <c r="K137" s="5" t="n"/>
      <c r="L137" s="5" t="n"/>
      <c r="M137" s="30" t="n"/>
      <c r="N137" s="5" t="n"/>
      <c r="O137" s="30" t="n"/>
      <c r="P137" s="5" t="n"/>
      <c r="Q137" s="30" t="n"/>
      <c r="R137" s="5" t="n"/>
      <c r="S137" s="5" t="n"/>
    </row>
    <row r="138">
      <c r="A138" s="34" t="n">
        <v>27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27" t="n"/>
      <c r="K138" s="5" t="n"/>
      <c r="L138" s="5" t="n"/>
      <c r="M138" s="30" t="n"/>
      <c r="N138" s="5" t="n"/>
      <c r="O138" s="30" t="n"/>
      <c r="P138" s="5" t="n"/>
      <c r="Q138" s="30" t="n"/>
      <c r="R138" s="5" t="n"/>
      <c r="S138" s="5" t="n"/>
    </row>
    <row r="139">
      <c r="A139" s="34" t="n">
        <v>28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27" t="n"/>
      <c r="K139" s="5" t="n"/>
      <c r="L139" s="5" t="n"/>
      <c r="M139" s="30" t="n"/>
      <c r="N139" s="5" t="n"/>
      <c r="O139" s="30" t="n"/>
      <c r="P139" s="5" t="n"/>
      <c r="Q139" s="30" t="n"/>
      <c r="R139" s="5" t="n"/>
      <c r="S139" s="5" t="n"/>
    </row>
    <row r="140">
      <c r="A140" s="34" t="n">
        <v>29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27" t="n"/>
      <c r="K140" s="5" t="n"/>
      <c r="L140" s="5" t="n"/>
      <c r="M140" s="30" t="n"/>
      <c r="N140" s="5" t="n"/>
      <c r="O140" s="30" t="n"/>
      <c r="P140" s="5" t="n"/>
      <c r="Q140" s="30" t="n"/>
      <c r="R140" s="5" t="n"/>
      <c r="S140" s="5" t="n"/>
    </row>
    <row r="141">
      <c r="A141" s="34" t="n">
        <v>30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27" t="n"/>
      <c r="K141" s="5" t="n"/>
      <c r="L141" s="5" t="n"/>
      <c r="M141" s="30" t="n"/>
      <c r="N141" s="5" t="n"/>
      <c r="O141" s="30" t="n"/>
      <c r="P141" s="5" t="n"/>
      <c r="Q141" s="30" t="n"/>
      <c r="R141" s="5" t="n"/>
      <c r="S141" s="5" t="n"/>
    </row>
    <row r="142">
      <c r="A142" s="34" t="n">
        <v>31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27" t="n"/>
      <c r="K142" s="5" t="n"/>
      <c r="L142" s="5" t="n"/>
      <c r="M142" s="30" t="n"/>
      <c r="N142" s="5" t="n"/>
      <c r="O142" s="30" t="n"/>
      <c r="P142" s="5" t="n"/>
      <c r="Q142" s="30" t="n"/>
      <c r="R142" s="5" t="n"/>
      <c r="S142" s="5" t="n"/>
    </row>
    <row r="143">
      <c r="A143" s="34" t="n">
        <v>32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27" t="n"/>
      <c r="K143" s="5" t="n"/>
      <c r="L143" s="5" t="n"/>
      <c r="M143" s="30" t="n"/>
      <c r="N143" s="5" t="n"/>
      <c r="O143" s="30" t="n"/>
      <c r="P143" s="5" t="n"/>
      <c r="Q143" s="30" t="n"/>
      <c r="R143" s="5" t="n"/>
      <c r="S143" s="5" t="n"/>
    </row>
    <row r="144">
      <c r="A144" s="34" t="n">
        <v>33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27" t="n"/>
      <c r="K144" s="5" t="n"/>
      <c r="L144" s="5" t="n"/>
      <c r="M144" s="30" t="n"/>
      <c r="N144" s="5" t="n"/>
      <c r="O144" s="30" t="n"/>
      <c r="P144" s="5" t="n"/>
      <c r="Q144" s="30" t="n"/>
      <c r="R144" s="5" t="n"/>
      <c r="S144" s="5" t="n"/>
    </row>
    <row r="145">
      <c r="A145" s="34" t="n">
        <v>34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27" t="n"/>
      <c r="K145" s="5" t="n"/>
      <c r="L145" s="5" t="n"/>
      <c r="M145" s="30" t="n"/>
      <c r="N145" s="5" t="n"/>
      <c r="O145" s="30" t="n"/>
      <c r="P145" s="5" t="n"/>
      <c r="Q145" s="30" t="n"/>
      <c r="R145" s="5" t="n"/>
      <c r="S145" s="5" t="n"/>
    </row>
    <row r="146">
      <c r="A146" s="34" t="n">
        <v>35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27" t="n"/>
      <c r="K146" s="5" t="n"/>
      <c r="L146" s="5" t="n"/>
      <c r="M146" s="30" t="n"/>
      <c r="N146" s="5" t="n"/>
      <c r="O146" s="30" t="n"/>
      <c r="P146" s="5" t="n"/>
      <c r="Q146" s="30" t="n"/>
      <c r="R146" s="5" t="n"/>
      <c r="S146" s="5" t="n"/>
    </row>
    <row r="147">
      <c r="A147" s="34" t="n">
        <v>36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27" t="n"/>
      <c r="K147" s="5" t="n"/>
      <c r="L147" s="5" t="n"/>
      <c r="M147" s="30" t="n"/>
      <c r="N147" s="5" t="n"/>
      <c r="O147" s="30" t="n"/>
      <c r="P147" s="5" t="n"/>
      <c r="Q147" s="30" t="n"/>
      <c r="R147" s="5" t="n"/>
      <c r="S147" s="5" t="n"/>
    </row>
    <row r="148">
      <c r="A148" s="34" t="n">
        <v>37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27" t="n"/>
      <c r="K148" s="5" t="n"/>
      <c r="L148" s="5" t="n"/>
      <c r="M148" s="30" t="n"/>
      <c r="N148" s="5" t="n"/>
      <c r="O148" s="30" t="n"/>
      <c r="P148" s="5" t="n"/>
      <c r="Q148" s="30" t="n"/>
      <c r="R148" s="5" t="n"/>
      <c r="S148" s="5" t="n"/>
    </row>
    <row r="149">
      <c r="A149" s="34" t="n">
        <v>38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27" t="n"/>
      <c r="K149" s="5" t="n"/>
      <c r="L149" s="5" t="n"/>
      <c r="M149" s="30" t="n"/>
      <c r="N149" s="5" t="n"/>
      <c r="O149" s="30" t="n"/>
      <c r="P149" s="5" t="n"/>
      <c r="Q149" s="30" t="n"/>
      <c r="R149" s="5" t="n"/>
      <c r="S149" s="5" t="n"/>
    </row>
    <row r="150">
      <c r="A150" s="34" t="n">
        <v>39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27" t="n"/>
      <c r="K150" s="5" t="n"/>
      <c r="L150" s="5" t="n"/>
      <c r="M150" s="30" t="n"/>
      <c r="N150" s="5" t="n"/>
      <c r="O150" s="30" t="n"/>
      <c r="P150" s="5" t="n"/>
      <c r="Q150" s="30" t="n"/>
      <c r="R150" s="5" t="n"/>
      <c r="S150" s="5" t="n"/>
    </row>
    <row r="151">
      <c r="A151" s="34" t="n">
        <v>40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27" t="n"/>
      <c r="K151" s="5" t="n"/>
      <c r="L151" s="5" t="n"/>
      <c r="M151" s="30" t="n"/>
      <c r="N151" s="5" t="n"/>
      <c r="O151" s="30" t="n"/>
      <c r="P151" s="5" t="n"/>
      <c r="Q151" s="30" t="n"/>
      <c r="R151" s="5" t="n"/>
      <c r="S151" s="5" t="n"/>
    </row>
  </sheetData>
  <mergeCells count="112">
    <mergeCell ref="J82:K82"/>
    <mergeCell ref="G59:K59"/>
    <mergeCell ref="G13:I13"/>
    <mergeCell ref="G67:K67"/>
    <mergeCell ref="G61:K61"/>
    <mergeCell ref="C105:K105"/>
    <mergeCell ref="G15:I15"/>
    <mergeCell ref="C7:E7"/>
    <mergeCell ref="G62:K62"/>
    <mergeCell ref="J86:K86"/>
    <mergeCell ref="G16:I16"/>
    <mergeCell ref="G24:K24"/>
    <mergeCell ref="C18:E18"/>
    <mergeCell ref="G33:K33"/>
    <mergeCell ref="G9:I9"/>
    <mergeCell ref="G65:K65"/>
    <mergeCell ref="C93:F93"/>
    <mergeCell ref="G26:K26"/>
    <mergeCell ref="G35:K35"/>
    <mergeCell ref="G63:K63"/>
    <mergeCell ref="I45:K45"/>
    <mergeCell ref="G25:K25"/>
    <mergeCell ref="J71:K71"/>
    <mergeCell ref="G60:K60"/>
    <mergeCell ref="I47:K47"/>
    <mergeCell ref="G52:K52"/>
    <mergeCell ref="J73:K73"/>
    <mergeCell ref="G6:I6"/>
    <mergeCell ref="H96:K96"/>
    <mergeCell ref="J88:K88"/>
    <mergeCell ref="C12:E12"/>
    <mergeCell ref="G14:I14"/>
    <mergeCell ref="C96:F96"/>
    <mergeCell ref="C92:F92"/>
    <mergeCell ref="G28:K28"/>
    <mergeCell ref="J83:K83"/>
    <mergeCell ref="C98:F98"/>
    <mergeCell ref="H93:K93"/>
    <mergeCell ref="G30:K30"/>
    <mergeCell ref="C13:E13"/>
    <mergeCell ref="J85:K85"/>
    <mergeCell ref="M4:O4"/>
    <mergeCell ref="C15:E15"/>
    <mergeCell ref="G55:K55"/>
    <mergeCell ref="G4:K4"/>
    <mergeCell ref="G64:K64"/>
    <mergeCell ref="C108:K108"/>
    <mergeCell ref="H94:K94"/>
    <mergeCell ref="G51:K51"/>
    <mergeCell ref="G54:K54"/>
    <mergeCell ref="G32:K32"/>
    <mergeCell ref="G8:I8"/>
    <mergeCell ref="G17:I17"/>
    <mergeCell ref="C10:E10"/>
    <mergeCell ref="C16:E16"/>
    <mergeCell ref="G56:K56"/>
    <mergeCell ref="G10:I10"/>
    <mergeCell ref="J81:K81"/>
    <mergeCell ref="C9:E9"/>
    <mergeCell ref="G27:K27"/>
    <mergeCell ref="C11:E11"/>
    <mergeCell ref="H97:K97"/>
    <mergeCell ref="G5:I5"/>
    <mergeCell ref="I39:K39"/>
    <mergeCell ref="G66:K66"/>
    <mergeCell ref="I48:K48"/>
    <mergeCell ref="G53:K53"/>
    <mergeCell ref="C106:K106"/>
    <mergeCell ref="J74:K74"/>
    <mergeCell ref="I38:K38"/>
    <mergeCell ref="C97:F97"/>
    <mergeCell ref="G58:K58"/>
    <mergeCell ref="C100:F100"/>
    <mergeCell ref="I40:K40"/>
    <mergeCell ref="C94:F94"/>
    <mergeCell ref="G12:I12"/>
    <mergeCell ref="C6:E6"/>
    <mergeCell ref="C14:E14"/>
    <mergeCell ref="G29:K29"/>
    <mergeCell ref="C104:K104"/>
    <mergeCell ref="H100:K100"/>
    <mergeCell ref="C95:F95"/>
    <mergeCell ref="G31:K31"/>
    <mergeCell ref="G7:I7"/>
    <mergeCell ref="I41:K41"/>
    <mergeCell ref="G21:K21"/>
    <mergeCell ref="C103:K103"/>
    <mergeCell ref="J72:K72"/>
    <mergeCell ref="I43:K43"/>
    <mergeCell ref="H95:K95"/>
    <mergeCell ref="G23:K23"/>
    <mergeCell ref="J84:K84"/>
    <mergeCell ref="J78:K78"/>
    <mergeCell ref="J87:K87"/>
    <mergeCell ref="I42:K42"/>
    <mergeCell ref="H92:K92"/>
    <mergeCell ref="C8:E8"/>
    <mergeCell ref="J80:K80"/>
    <mergeCell ref="C17:E17"/>
    <mergeCell ref="G57:K57"/>
    <mergeCell ref="I44:K44"/>
    <mergeCell ref="J70:K70"/>
    <mergeCell ref="J79:K79"/>
    <mergeCell ref="G34:K34"/>
    <mergeCell ref="H98:K98"/>
    <mergeCell ref="C99:F99"/>
    <mergeCell ref="G11:I11"/>
    <mergeCell ref="I46:K46"/>
    <mergeCell ref="C5:E5"/>
    <mergeCell ref="C107:K107"/>
    <mergeCell ref="G22:K22"/>
    <mergeCell ref="H99:K99"/>
  </mergeCells>
  <dataValidations count="14">
    <dataValidation sqref="C18" showDropDown="0" showInputMessage="0" showErrorMessage="0" allowBlank="1" type="list">
      <formula1>"企画中,募集中,実施済,中止"</formula1>
    </dataValidation>
    <dataValidation sqref="C7" showDropDown="0" showInputMessage="0" showErrorMessage="0" allowBlank="1" type="list">
      <formula1>"経営者交流（Class-E）,for Beginner,その他"</formula1>
    </dataValidation>
    <dataValidation sqref="K6 K7 K8 K9 K10 K11 K12 K13 K14 K15 K16 K17" showDropDown="0" showInputMessage="0" showErrorMessage="0" allowBlank="1" type="list">
      <formula1>"未着手,対応中,完了,対象外"</formula1>
    </dataValidation>
    <dataValidation sqref="F79:F88" showDropDown="0" showInputMessage="0" showErrorMessage="0" allowBlank="1" type="list">
      <formula1>"白,赤,ロゼ,スパークリング,オレンジ,甘口・貴腐,その他"</formula1>
    </dataValidation>
    <dataValidation sqref="D112:D151" showDropDown="0" showInputMessage="0" showErrorMessage="0" allowBlank="1" type="list">
      <formula1>"男性,女性,その他・回答なし"</formula1>
    </dataValidation>
    <dataValidation sqref="E112:E151" showDropDown="0" showInputMessage="0" showErrorMessage="0" allowBlank="1" type="list">
      <formula1>"20代,30代,40代,50代,60代以上"</formula1>
    </dataValidation>
    <dataValidation sqref="H112:H151" showDropDown="0" showInputMessage="0" showErrorMessage="0" allowBlank="1" type="list">
      <formula1>"新規,リピーター"</formula1>
    </dataValidation>
    <dataValidation sqref="I112:I151" showDropDown="0" showInputMessage="0" showErrorMessage="0" allowBlank="1" type="list">
      <formula1>"Instagram,Meta広告,LINE,知人・紹介,以前参加,イベントサイト,メールマガジン,検索,その他"</formula1>
    </dataValidation>
    <dataValidation sqref="K112:K151" showDropDown="0" showInputMessage="0" showErrorMessage="0" allowBlank="1" type="list">
      <formula1>"クレジットカード,銀行振込,当日現金,その他"</formula1>
    </dataValidation>
    <dataValidation sqref="L112:L151" showDropDown="0" showInputMessage="0" showErrorMessage="0" allowBlank="1" type="list">
      <formula1>"申込,参加,キャンセル,無断欠席"</formula1>
    </dataValidation>
    <dataValidation sqref="N112:N151" showDropDown="0" showInputMessage="0" showErrorMessage="0" allowBlank="1" type="list">
      <formula1>"済,未"</formula1>
    </dataValidation>
    <dataValidation sqref="P112:P151" showDropDown="0" showInputMessage="0" showErrorMessage="0" allowBlank="1" type="list">
      <formula1>"同意,不可"</formula1>
    </dataValidation>
    <dataValidation sqref="Q112:Q151" showDropDown="0" showInputMessage="0" showErrorMessage="0" allowBlank="1" type="list">
      <formula1>"1,2,3,4,5"</formula1>
    </dataValidation>
    <dataValidation sqref="R112:R151" showDropDown="0" showInputMessage="0" showErrorMessage="0" allowBlank="1" type="list">
      <formula1>"あり,未定,なし"</formula1>
    </dataValidation>
  </dataValidation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S1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1" customWidth="1" min="8" max="8"/>
    <col width="16" customWidth="1" min="9" max="9"/>
    <col width="12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1" customWidth="1" min="16" max="16"/>
    <col width="10" customWidth="1" min="17" max="17"/>
    <col width="12" customWidth="1" min="18" max="18"/>
    <col width="28" customWidth="1" min="19" max="19"/>
  </cols>
  <sheetData>
    <row r="1">
      <c r="A1" s="1" t="inlineStr">
        <is>
          <t>ワイン会 実施前後レポート</t>
        </is>
      </c>
    </row>
    <row r="2">
      <c r="A2" s="7" t="inlineStr">
        <is>
          <t>黄色セル＝入力 ／ グレーセル＝自動計算（触らない）。実施前は【計画】列、実施後は【実績】列と参加者リストを記入。</t>
        </is>
      </c>
    </row>
    <row r="4">
      <c r="A4" s="20" t="inlineStr">
        <is>
          <t>1. 基本情報</t>
        </is>
      </c>
      <c r="B4" s="21" t="n"/>
      <c r="C4" s="21" t="n"/>
      <c r="D4" s="21" t="n"/>
      <c r="E4" s="21" t="n"/>
      <c r="F4" s="21" t="n"/>
      <c r="G4" s="22" t="inlineStr">
        <is>
          <t>実施前チェックリスト</t>
        </is>
      </c>
      <c r="H4" s="23" t="n"/>
      <c r="I4" s="23" t="n"/>
      <c r="J4" s="23" t="n"/>
      <c r="K4" s="23" t="n"/>
      <c r="L4" s="21" t="n"/>
      <c r="M4" s="22" t="inlineStr">
        <is>
          <t>準備の進捗</t>
        </is>
      </c>
      <c r="N4" s="23" t="n"/>
      <c r="O4" s="23" t="n"/>
      <c r="P4" s="21" t="n"/>
      <c r="Q4" s="21" t="n"/>
      <c r="R4" s="21" t="n"/>
      <c r="S4" s="21" t="n"/>
    </row>
    <row r="5">
      <c r="B5" s="18" t="inlineStr">
        <is>
          <t>回No</t>
        </is>
      </c>
      <c r="C5" s="5" t="n"/>
      <c r="D5" s="24" t="n"/>
      <c r="E5" s="24" t="n"/>
      <c r="G5" s="12" t="inlineStr">
        <is>
          <t>項目</t>
        </is>
      </c>
      <c r="H5" s="25" t="n"/>
      <c r="I5" s="26" t="n"/>
      <c r="J5" s="12" t="inlineStr">
        <is>
          <t>期限</t>
        </is>
      </c>
      <c r="K5" s="12" t="inlineStr">
        <is>
          <t>状況</t>
        </is>
      </c>
      <c r="M5" s="18" t="inlineStr">
        <is>
          <t>完了</t>
        </is>
      </c>
      <c r="N5" s="6">
        <f>COUNTIF(K6:K17,"完了")&amp;" / "&amp;(COUNTA(K6:K17)-COUNTIF(K6:K17,"対象外"))</f>
        <v/>
      </c>
    </row>
    <row r="6">
      <c r="B6" s="18" t="inlineStr">
        <is>
          <t>イベント名</t>
        </is>
      </c>
      <c r="C6" s="5" t="n"/>
      <c r="D6" s="24" t="n"/>
      <c r="E6" s="24" t="n"/>
      <c r="G6" s="5" t="inlineStr">
        <is>
          <t>会場予約の確定</t>
        </is>
      </c>
      <c r="H6" s="24" t="n"/>
      <c r="I6" s="24" t="n"/>
      <c r="J6" s="27" t="n"/>
      <c r="K6" s="5" t="inlineStr">
        <is>
          <t>未着手</t>
        </is>
      </c>
    </row>
    <row r="7">
      <c r="B7" s="18" t="inlineStr">
        <is>
          <t>種別</t>
        </is>
      </c>
      <c r="C7" s="5" t="n"/>
      <c r="D7" s="24" t="n"/>
      <c r="E7" s="24" t="n"/>
      <c r="G7" s="5" t="inlineStr">
        <is>
          <t>提供ワイン確定・発注</t>
        </is>
      </c>
      <c r="H7" s="24" t="n"/>
      <c r="I7" s="24" t="n"/>
      <c r="J7" s="27" t="n"/>
      <c r="K7" s="5" t="inlineStr">
        <is>
          <t>未着手</t>
        </is>
      </c>
    </row>
    <row r="8">
      <c r="B8" s="18" t="inlineStr">
        <is>
          <t>開催日</t>
        </is>
      </c>
      <c r="C8" s="28" t="n"/>
      <c r="D8" s="24" t="n"/>
      <c r="E8" s="24" t="n"/>
      <c r="G8" s="5" t="inlineStr">
        <is>
          <t>告知ページ／LP公開</t>
        </is>
      </c>
      <c r="H8" s="24" t="n"/>
      <c r="I8" s="24" t="n"/>
      <c r="J8" s="27" t="n"/>
      <c r="K8" s="5" t="inlineStr">
        <is>
          <t>未着手</t>
        </is>
      </c>
    </row>
    <row r="9">
      <c r="B9" s="18" t="inlineStr">
        <is>
          <t>開場</t>
        </is>
      </c>
      <c r="C9" s="29" t="n"/>
      <c r="D9" s="24" t="n"/>
      <c r="E9" s="24" t="n"/>
      <c r="G9" s="5" t="inlineStr">
        <is>
          <t>Instagram告知投稿</t>
        </is>
      </c>
      <c r="H9" s="24" t="n"/>
      <c r="I9" s="24" t="n"/>
      <c r="J9" s="27" t="n"/>
      <c r="K9" s="5" t="inlineStr">
        <is>
          <t>未着手</t>
        </is>
      </c>
    </row>
    <row r="10">
      <c r="B10" s="18" t="inlineStr">
        <is>
          <t>開始</t>
        </is>
      </c>
      <c r="C10" s="29" t="n"/>
      <c r="D10" s="24" t="n"/>
      <c r="E10" s="24" t="n"/>
      <c r="G10" s="5" t="inlineStr">
        <is>
          <t>LINE告知（3週間前）</t>
        </is>
      </c>
      <c r="H10" s="24" t="n"/>
      <c r="I10" s="24" t="n"/>
      <c r="J10" s="27" t="n"/>
      <c r="K10" s="5" t="inlineStr">
        <is>
          <t>未着手</t>
        </is>
      </c>
    </row>
    <row r="11">
      <c r="B11" s="18" t="inlineStr">
        <is>
          <t>終了</t>
        </is>
      </c>
      <c r="C11" s="29" t="n"/>
      <c r="D11" s="24" t="n"/>
      <c r="E11" s="24" t="n"/>
      <c r="G11" s="5" t="inlineStr">
        <is>
          <t>LINE告知（1週間前）</t>
        </is>
      </c>
      <c r="H11" s="24" t="n"/>
      <c r="I11" s="24" t="n"/>
      <c r="J11" s="27" t="n"/>
      <c r="K11" s="5" t="inlineStr">
        <is>
          <t>未着手</t>
        </is>
      </c>
    </row>
    <row r="12">
      <c r="B12" s="18" t="inlineStr">
        <is>
          <t>会場</t>
        </is>
      </c>
      <c r="C12" s="5" t="n"/>
      <c r="D12" s="24" t="n"/>
      <c r="E12" s="24" t="n"/>
      <c r="G12" s="5" t="inlineStr">
        <is>
          <t>LINE告知（前日）</t>
        </is>
      </c>
      <c r="H12" s="24" t="n"/>
      <c r="I12" s="24" t="n"/>
      <c r="J12" s="27" t="n"/>
      <c r="K12" s="5" t="inlineStr">
        <is>
          <t>未着手</t>
        </is>
      </c>
    </row>
    <row r="13">
      <c r="B13" s="18" t="inlineStr">
        <is>
          <t>定員（名）</t>
        </is>
      </c>
      <c r="C13" s="30" t="n"/>
      <c r="D13" s="24" t="n"/>
      <c r="E13" s="24" t="n"/>
      <c r="G13" s="5" t="inlineStr">
        <is>
          <t>広告入稿・審査通過</t>
        </is>
      </c>
      <c r="H13" s="24" t="n"/>
      <c r="I13" s="24" t="n"/>
      <c r="J13" s="27" t="n"/>
      <c r="K13" s="5" t="inlineStr">
        <is>
          <t>未着手</t>
        </is>
      </c>
    </row>
    <row r="14">
      <c r="B14" s="18" t="inlineStr">
        <is>
          <t>会費・事前決済（円/税込）</t>
        </is>
      </c>
      <c r="C14" s="30" t="n"/>
      <c r="D14" s="24" t="n"/>
      <c r="E14" s="24" t="n"/>
      <c r="G14" s="5" t="inlineStr">
        <is>
          <t>参加者へ前日リマインド</t>
        </is>
      </c>
      <c r="H14" s="24" t="n"/>
      <c r="I14" s="24" t="n"/>
      <c r="J14" s="27" t="n"/>
      <c r="K14" s="5" t="inlineStr">
        <is>
          <t>未着手</t>
        </is>
      </c>
    </row>
    <row r="15">
      <c r="B15" s="18" t="inlineStr">
        <is>
          <t>会費・当日決済（円/税込）</t>
        </is>
      </c>
      <c r="C15" s="30" t="n"/>
      <c r="D15" s="24" t="n"/>
      <c r="E15" s="24" t="n"/>
      <c r="G15" s="5" t="inlineStr">
        <is>
          <t>受付名簿・領収書の準備</t>
        </is>
      </c>
      <c r="H15" s="24" t="n"/>
      <c r="I15" s="24" t="n"/>
      <c r="J15" s="27" t="n"/>
      <c r="K15" s="5" t="inlineStr">
        <is>
          <t>未着手</t>
        </is>
      </c>
    </row>
    <row r="16">
      <c r="B16" s="18" t="inlineStr">
        <is>
          <t>責任者（企画・最終判断）</t>
        </is>
      </c>
      <c r="C16" s="5" t="n"/>
      <c r="D16" s="24" t="n"/>
      <c r="E16" s="24" t="n"/>
      <c r="G16" s="5" t="inlineStr">
        <is>
          <t>写真掲載の同意確認方法を準備</t>
        </is>
      </c>
      <c r="H16" s="24" t="n"/>
      <c r="I16" s="24" t="n"/>
      <c r="J16" s="27" t="n"/>
      <c r="K16" s="5" t="inlineStr">
        <is>
          <t>未着手</t>
        </is>
      </c>
    </row>
    <row r="17">
      <c r="B17" s="18" t="inlineStr">
        <is>
          <t>運営担当</t>
        </is>
      </c>
      <c r="C17" s="5" t="n"/>
      <c r="D17" s="24" t="n"/>
      <c r="E17" s="24" t="n"/>
      <c r="G17" s="5" t="inlineStr">
        <is>
          <t>当日の流れ・台本の確定</t>
        </is>
      </c>
      <c r="H17" s="24" t="n"/>
      <c r="I17" s="24" t="n"/>
      <c r="J17" s="27" t="n"/>
      <c r="K17" s="5" t="inlineStr">
        <is>
          <t>未着手</t>
        </is>
      </c>
    </row>
    <row r="18">
      <c r="B18" s="18" t="inlineStr">
        <is>
          <t>ステータス</t>
        </is>
      </c>
      <c r="C18" s="5" t="n"/>
      <c r="D18" s="24" t="n"/>
      <c r="E18" s="24" t="n"/>
    </row>
    <row r="20">
      <c r="A20" s="20" t="inlineStr">
        <is>
          <t>2. 計画 vs 実績（KPI）</t>
        </is>
      </c>
      <c r="B20" s="21" t="n"/>
      <c r="C20" s="21" t="n"/>
      <c r="D20" s="21" t="n"/>
      <c r="E20" s="21" t="n"/>
      <c r="F20" s="31" t="inlineStr">
        <is>
          <t>実施前に【計画】、実施後に【実績】。実績の多くは参加者リストから自動集計</t>
        </is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s="12" t="inlineStr"/>
      <c r="B21" s="12" t="inlineStr">
        <is>
          <t>項目</t>
        </is>
      </c>
      <c r="C21" s="12" t="inlineStr">
        <is>
          <t>計画（実施前）</t>
        </is>
      </c>
      <c r="D21" s="12" t="inlineStr">
        <is>
          <t>実績（実施後）</t>
        </is>
      </c>
      <c r="E21" s="12" t="inlineStr">
        <is>
          <t>差異</t>
        </is>
      </c>
      <c r="F21" s="12" t="inlineStr">
        <is>
          <t>達成率</t>
        </is>
      </c>
      <c r="G21" s="12" t="inlineStr">
        <is>
          <t>メモ</t>
        </is>
      </c>
      <c r="H21" s="25" t="n"/>
      <c r="I21" s="25" t="n"/>
      <c r="J21" s="25" t="n"/>
      <c r="K21" s="26" t="n"/>
    </row>
    <row r="22">
      <c r="B22" s="18" t="inlineStr">
        <is>
          <t>申込数（名）</t>
        </is>
      </c>
      <c r="C22" s="30" t="n"/>
      <c r="D22" s="15">
        <f>COUNTA($B$112:$B$151)</f>
        <v/>
      </c>
      <c r="E22" s="15">
        <f>IF(C22="","",D22-C22)</f>
        <v/>
      </c>
      <c r="F22" s="16">
        <f>IF(OR(C22="",C22=0),"",D22/C22)</f>
        <v/>
      </c>
      <c r="G22" s="5" t="n"/>
      <c r="H22" s="24" t="n"/>
      <c r="I22" s="24" t="n"/>
      <c r="J22" s="24" t="n"/>
      <c r="K22" s="24" t="n"/>
    </row>
    <row r="23">
      <c r="B23" s="18" t="inlineStr">
        <is>
          <t>参加者数（名）</t>
        </is>
      </c>
      <c r="C23" s="30" t="n"/>
      <c r="D23" s="15">
        <f>COUNTIF($L$112:$L$151,"参加")</f>
        <v/>
      </c>
      <c r="E23" s="15">
        <f>IF(C23="","",D23-C23)</f>
        <v/>
      </c>
      <c r="F23" s="16">
        <f>IF(OR(C23="",C23=0),"",D23/C23)</f>
        <v/>
      </c>
      <c r="G23" s="5" t="n"/>
      <c r="H23" s="24" t="n"/>
      <c r="I23" s="24" t="n"/>
      <c r="J23" s="24" t="n"/>
      <c r="K23" s="24" t="n"/>
    </row>
    <row r="24">
      <c r="B24" s="3" t="inlineStr">
        <is>
          <t xml:space="preserve">　うち男性</t>
        </is>
      </c>
      <c r="C24" s="30" t="n"/>
      <c r="D24" s="15">
        <f>COUNTIFS($L$112:$L$151,"参加",$D$112:$D$151,"男性")</f>
        <v/>
      </c>
      <c r="E24" s="15">
        <f>IF(C24="","",D24-C24)</f>
        <v/>
      </c>
      <c r="F24" s="16">
        <f>IF(OR(C24="",C24=0),"",D24/C24)</f>
        <v/>
      </c>
      <c r="G24" s="5" t="n"/>
      <c r="H24" s="24" t="n"/>
      <c r="I24" s="24" t="n"/>
      <c r="J24" s="24" t="n"/>
      <c r="K24" s="24" t="n"/>
    </row>
    <row r="25">
      <c r="B25" s="3" t="inlineStr">
        <is>
          <t xml:space="preserve">　うち女性</t>
        </is>
      </c>
      <c r="C25" s="30" t="n"/>
      <c r="D25" s="15">
        <f>COUNTIFS($L$112:$L$151,"参加",$D$112:$D$151,"女性")</f>
        <v/>
      </c>
      <c r="E25" s="15">
        <f>IF(C25="","",D25-C25)</f>
        <v/>
      </c>
      <c r="F25" s="16">
        <f>IF(OR(C25="",C25=0),"",D25/C25)</f>
        <v/>
      </c>
      <c r="G25" s="5" t="n"/>
      <c r="H25" s="24" t="n"/>
      <c r="I25" s="24" t="n"/>
      <c r="J25" s="24" t="n"/>
      <c r="K25" s="24" t="n"/>
    </row>
    <row r="26">
      <c r="B26" s="3" t="inlineStr">
        <is>
          <t xml:space="preserve">　うち新規</t>
        </is>
      </c>
      <c r="C26" s="30" t="n"/>
      <c r="D26" s="15">
        <f>COUNTIFS($L$112:$L$151,"参加",$H$112:$H$151,"新規")</f>
        <v/>
      </c>
      <c r="E26" s="15">
        <f>IF(C26="","",D26-C26)</f>
        <v/>
      </c>
      <c r="F26" s="16">
        <f>IF(OR(C26="",C26=0),"",D26/C26)</f>
        <v/>
      </c>
      <c r="G26" s="5" t="n"/>
      <c r="H26" s="24" t="n"/>
      <c r="I26" s="24" t="n"/>
      <c r="J26" s="24" t="n"/>
      <c r="K26" s="24" t="n"/>
    </row>
    <row r="27">
      <c r="B27" s="3" t="inlineStr">
        <is>
          <t xml:space="preserve">　うちリピーター</t>
        </is>
      </c>
      <c r="C27" s="30" t="n"/>
      <c r="D27" s="15">
        <f>COUNTIFS($L$112:$L$151,"参加",$H$112:$H$151,"リピーター")</f>
        <v/>
      </c>
      <c r="E27" s="15">
        <f>IF(C27="","",D27-C27)</f>
        <v/>
      </c>
      <c r="F27" s="16">
        <f>IF(OR(C27="",C27=0),"",D27/C27)</f>
        <v/>
      </c>
      <c r="G27" s="5" t="n"/>
      <c r="H27" s="24" t="n"/>
      <c r="I27" s="24" t="n"/>
      <c r="J27" s="24" t="n"/>
      <c r="K27" s="24" t="n"/>
    </row>
    <row r="28">
      <c r="B28" s="18" t="inlineStr">
        <is>
          <t>キャンセル数</t>
        </is>
      </c>
      <c r="C28" s="30" t="n"/>
      <c r="D28" s="15">
        <f>COUNTIF($L$112:$L$151,"キャンセル")</f>
        <v/>
      </c>
      <c r="E28" s="15">
        <f>IF(C28="","",D28-C28)</f>
        <v/>
      </c>
      <c r="F28" s="16">
        <f>IF(OR(C28="",C28=0),"",D28/C28)</f>
        <v/>
      </c>
      <c r="G28" s="5" t="n"/>
      <c r="H28" s="24" t="n"/>
      <c r="I28" s="24" t="n"/>
      <c r="J28" s="24" t="n"/>
      <c r="K28" s="24" t="n"/>
    </row>
    <row r="29">
      <c r="B29" s="18" t="inlineStr">
        <is>
          <t>無断欠席数</t>
        </is>
      </c>
      <c r="C29" s="30" t="n"/>
      <c r="D29" s="15">
        <f>COUNTIF($L$112:$L$151,"無断欠席")</f>
        <v/>
      </c>
      <c r="E29" s="15">
        <f>IF(C29="","",D29-C29)</f>
        <v/>
      </c>
      <c r="F29" s="16">
        <f>IF(OR(C29="",C29=0),"",D29/C29)</f>
        <v/>
      </c>
      <c r="G29" s="5" t="n"/>
      <c r="H29" s="24" t="n"/>
      <c r="I29" s="24" t="n"/>
      <c r="J29" s="24" t="n"/>
      <c r="K29" s="24" t="n"/>
    </row>
    <row r="30">
      <c r="B30" s="18" t="inlineStr">
        <is>
          <t>充足率（参加者÷定員）</t>
        </is>
      </c>
      <c r="C30" s="16">
        <f>IFERROR(C23/C13,0)</f>
        <v/>
      </c>
      <c r="D30" s="16">
        <f>IFERROR(D23/C13,0)</f>
        <v/>
      </c>
      <c r="E30" s="16">
        <f>IF(C30="","",D30-C30)</f>
        <v/>
      </c>
      <c r="F30" s="6">
        <f>""</f>
        <v/>
      </c>
      <c r="G30" s="5" t="n"/>
      <c r="H30" s="24" t="n"/>
      <c r="I30" s="24" t="n"/>
      <c r="J30" s="24" t="n"/>
      <c r="K30" s="24" t="n"/>
    </row>
    <row r="31">
      <c r="B31" s="18" t="inlineStr">
        <is>
          <t>LINE友だち追加数（告知期間）</t>
        </is>
      </c>
      <c r="C31" s="30" t="n"/>
      <c r="D31" s="30" t="n"/>
      <c r="E31" s="15">
        <f>IF(C31="","",D31-C31)</f>
        <v/>
      </c>
      <c r="F31" s="16">
        <f>IF(OR(C31="",C31=0),"",D31/C31)</f>
        <v/>
      </c>
      <c r="G31" s="5" t="n"/>
      <c r="H31" s="24" t="n"/>
      <c r="I31" s="24" t="n"/>
      <c r="J31" s="24" t="n"/>
      <c r="K31" s="24" t="n"/>
    </row>
    <row r="32">
      <c r="B32" s="18" t="inlineStr">
        <is>
          <t>満足度 平均（5段階）</t>
        </is>
      </c>
      <c r="C32" s="32" t="n"/>
      <c r="D32" s="17">
        <f>IFERROR(AVERAGEIFS($Q$112:$Q$151,$L$112:$L$151,"参加",$Q$112:$Q$151,"&gt;0"),0)</f>
        <v/>
      </c>
      <c r="E32" s="17">
        <f>IF(C32="","",D32-C32)</f>
        <v/>
      </c>
      <c r="F32" s="6">
        <f>""</f>
        <v/>
      </c>
      <c r="G32" s="5" t="n"/>
      <c r="H32" s="24" t="n"/>
      <c r="I32" s="24" t="n"/>
      <c r="J32" s="24" t="n"/>
      <c r="K32" s="24" t="n"/>
    </row>
    <row r="33">
      <c r="B33" s="18" t="inlineStr">
        <is>
          <t>次回参加意向「あり」率</t>
        </is>
      </c>
      <c r="C33" s="33" t="n"/>
      <c r="D33" s="16">
        <f>IFERROR(COUNTIFS($L$112:$L$151,"参加",$R$112:$R$151,"あり")/COUNTIF($L$112:$L$151,"参加"),0)</f>
        <v/>
      </c>
      <c r="E33" s="16">
        <f>IF(C33="","",D33-C33)</f>
        <v/>
      </c>
      <c r="F33" s="6">
        <f>""</f>
        <v/>
      </c>
      <c r="G33" s="5" t="n"/>
      <c r="H33" s="24" t="n"/>
      <c r="I33" s="24" t="n"/>
      <c r="J33" s="24" t="n"/>
      <c r="K33" s="24" t="n"/>
    </row>
    <row r="34">
      <c r="B34" s="18" t="inlineStr">
        <is>
          <t>写真掲載 同意数</t>
        </is>
      </c>
      <c r="C34" s="30" t="n"/>
      <c r="D34" s="15">
        <f>COUNTIFS($L$112:$L$151,"参加",$P$112:$P$151,"同意")</f>
        <v/>
      </c>
      <c r="E34" s="15">
        <f>IF(C34="","",D34-C34)</f>
        <v/>
      </c>
      <c r="F34" s="16">
        <f>IF(OR(C34="",C34=0),"",D34/C34)</f>
        <v/>
      </c>
      <c r="G34" s="5" t="n"/>
      <c r="H34" s="24" t="n"/>
      <c r="I34" s="24" t="n"/>
      <c r="J34" s="24" t="n"/>
      <c r="K34" s="24" t="n"/>
    </row>
    <row r="35">
      <c r="B35" s="18" t="inlineStr">
        <is>
          <t>参加者1名あたり粗利（円）</t>
        </is>
      </c>
      <c r="C35" s="15">
        <f>IFERROR(C65/C23,0)</f>
        <v/>
      </c>
      <c r="D35" s="15">
        <f>IFERROR(D65/D23,0)</f>
        <v/>
      </c>
      <c r="E35" s="15">
        <f>IF(C35="","",D35-C35)</f>
        <v/>
      </c>
      <c r="F35" s="16">
        <f>IF(OR(C35="",C35=0),"",D35/C35)</f>
        <v/>
      </c>
      <c r="G35" s="5" t="n"/>
      <c r="H35" s="24" t="n"/>
      <c r="I35" s="24" t="n"/>
      <c r="J35" s="24" t="n"/>
      <c r="K35" s="24" t="n"/>
    </row>
    <row r="37">
      <c r="A37" s="20" t="inlineStr">
        <is>
          <t>3. 集客チャネル別（知ったきっかけ）</t>
        </is>
      </c>
      <c r="B37" s="21" t="n"/>
      <c r="C37" s="21" t="n"/>
      <c r="D37" s="21" t="n"/>
      <c r="E37" s="21" t="n"/>
      <c r="F37" s="31" t="inlineStr">
        <is>
          <t>受付で全員に「どこで知りましたか」を聞く（運用マニュアル9-3）</t>
        </is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</row>
    <row r="38">
      <c r="A38" s="12" t="inlineStr"/>
      <c r="B38" s="12" t="inlineStr">
        <is>
          <t>チャネル</t>
        </is>
      </c>
      <c r="C38" s="12" t="inlineStr">
        <is>
          <t>計画（名）</t>
        </is>
      </c>
      <c r="D38" s="12" t="inlineStr">
        <is>
          <t>申込（名）</t>
        </is>
      </c>
      <c r="E38" s="12" t="inlineStr">
        <is>
          <t>参加（名）</t>
        </is>
      </c>
      <c r="F38" s="12" t="inlineStr">
        <is>
          <t>男性（参加）</t>
        </is>
      </c>
      <c r="G38" s="12" t="inlineStr">
        <is>
          <t>女性（参加）</t>
        </is>
      </c>
      <c r="H38" s="12" t="inlineStr">
        <is>
          <t>構成比（参加）</t>
        </is>
      </c>
      <c r="I38" s="12" t="inlineStr">
        <is>
          <t>メモ</t>
        </is>
      </c>
      <c r="J38" s="25" t="n"/>
      <c r="K38" s="26" t="n"/>
    </row>
    <row r="39">
      <c r="B39" s="3" t="inlineStr">
        <is>
          <t>Instagram</t>
        </is>
      </c>
      <c r="C39" s="30" t="n"/>
      <c r="D39" s="15">
        <f>COUNTIF($I$112:$I$151,B39)</f>
        <v/>
      </c>
      <c r="E39" s="15">
        <f>COUNTIFS($L$112:$L$151,"参加",$I$112:$I$151,B39)</f>
        <v/>
      </c>
      <c r="F39" s="15">
        <f>COUNTIFS($L$112:$L$151,"参加",$I$112:$I$151,B39,$D$112:$D$151,"男性")</f>
        <v/>
      </c>
      <c r="G39" s="15">
        <f>COUNTIFS($L$112:$L$151,"参加",$I$112:$I$151,B39,$D$112:$D$151,"女性")</f>
        <v/>
      </c>
      <c r="H39" s="16">
        <f>IFERROR(E39/E$48,0)</f>
        <v/>
      </c>
      <c r="I39" s="5" t="n"/>
      <c r="J39" s="24" t="n"/>
      <c r="K39" s="24" t="n"/>
    </row>
    <row r="40">
      <c r="B40" s="3" t="inlineStr">
        <is>
          <t>Meta広告</t>
        </is>
      </c>
      <c r="C40" s="30" t="n"/>
      <c r="D40" s="15">
        <f>COUNTIF($I$112:$I$151,B40)</f>
        <v/>
      </c>
      <c r="E40" s="15">
        <f>COUNTIFS($L$112:$L$151,"参加",$I$112:$I$151,B40)</f>
        <v/>
      </c>
      <c r="F40" s="15">
        <f>COUNTIFS($L$112:$L$151,"参加",$I$112:$I$151,B40,$D$112:$D$151,"男性")</f>
        <v/>
      </c>
      <c r="G40" s="15">
        <f>COUNTIFS($L$112:$L$151,"参加",$I$112:$I$151,B40,$D$112:$D$151,"女性")</f>
        <v/>
      </c>
      <c r="H40" s="16">
        <f>IFERROR(E40/E$48,0)</f>
        <v/>
      </c>
      <c r="I40" s="5" t="n"/>
      <c r="J40" s="24" t="n"/>
      <c r="K40" s="24" t="n"/>
    </row>
    <row r="41">
      <c r="B41" s="3" t="inlineStr">
        <is>
          <t>LINE</t>
        </is>
      </c>
      <c r="C41" s="30" t="n"/>
      <c r="D41" s="15">
        <f>COUNTIF($I$112:$I$151,B41)</f>
        <v/>
      </c>
      <c r="E41" s="15">
        <f>COUNTIFS($L$112:$L$151,"参加",$I$112:$I$151,B41)</f>
        <v/>
      </c>
      <c r="F41" s="15">
        <f>COUNTIFS($L$112:$L$151,"参加",$I$112:$I$151,B41,$D$112:$D$151,"男性")</f>
        <v/>
      </c>
      <c r="G41" s="15">
        <f>COUNTIFS($L$112:$L$151,"参加",$I$112:$I$151,B41,$D$112:$D$151,"女性")</f>
        <v/>
      </c>
      <c r="H41" s="16">
        <f>IFERROR(E41/E$48,0)</f>
        <v/>
      </c>
      <c r="I41" s="5" t="n"/>
      <c r="J41" s="24" t="n"/>
      <c r="K41" s="24" t="n"/>
    </row>
    <row r="42">
      <c r="B42" s="3" t="inlineStr">
        <is>
          <t>知人・紹介</t>
        </is>
      </c>
      <c r="C42" s="30" t="n"/>
      <c r="D42" s="15">
        <f>COUNTIF($I$112:$I$151,B42)</f>
        <v/>
      </c>
      <c r="E42" s="15">
        <f>COUNTIFS($L$112:$L$151,"参加",$I$112:$I$151,B42)</f>
        <v/>
      </c>
      <c r="F42" s="15">
        <f>COUNTIFS($L$112:$L$151,"参加",$I$112:$I$151,B42,$D$112:$D$151,"男性")</f>
        <v/>
      </c>
      <c r="G42" s="15">
        <f>COUNTIFS($L$112:$L$151,"参加",$I$112:$I$151,B42,$D$112:$D$151,"女性")</f>
        <v/>
      </c>
      <c r="H42" s="16">
        <f>IFERROR(E42/E$48,0)</f>
        <v/>
      </c>
      <c r="I42" s="5" t="n"/>
      <c r="J42" s="24" t="n"/>
      <c r="K42" s="24" t="n"/>
    </row>
    <row r="43">
      <c r="B43" s="3" t="inlineStr">
        <is>
          <t>以前参加</t>
        </is>
      </c>
      <c r="C43" s="30" t="n"/>
      <c r="D43" s="15">
        <f>COUNTIF($I$112:$I$151,B43)</f>
        <v/>
      </c>
      <c r="E43" s="15">
        <f>COUNTIFS($L$112:$L$151,"参加",$I$112:$I$151,B43)</f>
        <v/>
      </c>
      <c r="F43" s="15">
        <f>COUNTIFS($L$112:$L$151,"参加",$I$112:$I$151,B43,$D$112:$D$151,"男性")</f>
        <v/>
      </c>
      <c r="G43" s="15">
        <f>COUNTIFS($L$112:$L$151,"参加",$I$112:$I$151,B43,$D$112:$D$151,"女性")</f>
        <v/>
      </c>
      <c r="H43" s="16">
        <f>IFERROR(E43/E$48,0)</f>
        <v/>
      </c>
      <c r="I43" s="5" t="n"/>
      <c r="J43" s="24" t="n"/>
      <c r="K43" s="24" t="n"/>
    </row>
    <row r="44">
      <c r="B44" s="3" t="inlineStr">
        <is>
          <t>イベントサイト</t>
        </is>
      </c>
      <c r="C44" s="30" t="n"/>
      <c r="D44" s="15">
        <f>COUNTIF($I$112:$I$151,B44)</f>
        <v/>
      </c>
      <c r="E44" s="15">
        <f>COUNTIFS($L$112:$L$151,"参加",$I$112:$I$151,B44)</f>
        <v/>
      </c>
      <c r="F44" s="15">
        <f>COUNTIFS($L$112:$L$151,"参加",$I$112:$I$151,B44,$D$112:$D$151,"男性")</f>
        <v/>
      </c>
      <c r="G44" s="15">
        <f>COUNTIFS($L$112:$L$151,"参加",$I$112:$I$151,B44,$D$112:$D$151,"女性")</f>
        <v/>
      </c>
      <c r="H44" s="16">
        <f>IFERROR(E44/E$48,0)</f>
        <v/>
      </c>
      <c r="I44" s="5" t="n"/>
      <c r="J44" s="24" t="n"/>
      <c r="K44" s="24" t="n"/>
    </row>
    <row r="45">
      <c r="B45" s="3" t="inlineStr">
        <is>
          <t>メールマガジン</t>
        </is>
      </c>
      <c r="C45" s="30" t="n"/>
      <c r="D45" s="15">
        <f>COUNTIF($I$112:$I$151,B45)</f>
        <v/>
      </c>
      <c r="E45" s="15">
        <f>COUNTIFS($L$112:$L$151,"参加",$I$112:$I$151,B45)</f>
        <v/>
      </c>
      <c r="F45" s="15">
        <f>COUNTIFS($L$112:$L$151,"参加",$I$112:$I$151,B45,$D$112:$D$151,"男性")</f>
        <v/>
      </c>
      <c r="G45" s="15">
        <f>COUNTIFS($L$112:$L$151,"参加",$I$112:$I$151,B45,$D$112:$D$151,"女性")</f>
        <v/>
      </c>
      <c r="H45" s="16">
        <f>IFERROR(E45/E$48,0)</f>
        <v/>
      </c>
      <c r="I45" s="5" t="n"/>
      <c r="J45" s="24" t="n"/>
      <c r="K45" s="24" t="n"/>
    </row>
    <row r="46">
      <c r="B46" s="3" t="inlineStr">
        <is>
          <t>検索</t>
        </is>
      </c>
      <c r="C46" s="30" t="n"/>
      <c r="D46" s="15">
        <f>COUNTIF($I$112:$I$151,B46)</f>
        <v/>
      </c>
      <c r="E46" s="15">
        <f>COUNTIFS($L$112:$L$151,"参加",$I$112:$I$151,B46)</f>
        <v/>
      </c>
      <c r="F46" s="15">
        <f>COUNTIFS($L$112:$L$151,"参加",$I$112:$I$151,B46,$D$112:$D$151,"男性")</f>
        <v/>
      </c>
      <c r="G46" s="15">
        <f>COUNTIFS($L$112:$L$151,"参加",$I$112:$I$151,B46,$D$112:$D$151,"女性")</f>
        <v/>
      </c>
      <c r="H46" s="16">
        <f>IFERROR(E46/E$48,0)</f>
        <v/>
      </c>
      <c r="I46" s="5" t="n"/>
      <c r="J46" s="24" t="n"/>
      <c r="K46" s="24" t="n"/>
    </row>
    <row r="47">
      <c r="B47" s="3" t="inlineStr">
        <is>
          <t>その他</t>
        </is>
      </c>
      <c r="C47" s="30" t="n"/>
      <c r="D47" s="15">
        <f>COUNTIF($I$112:$I$151,B47)</f>
        <v/>
      </c>
      <c r="E47" s="15">
        <f>COUNTIFS($L$112:$L$151,"参加",$I$112:$I$151,B47)</f>
        <v/>
      </c>
      <c r="F47" s="15">
        <f>COUNTIFS($L$112:$L$151,"参加",$I$112:$I$151,B47,$D$112:$D$151,"男性")</f>
        <v/>
      </c>
      <c r="G47" s="15">
        <f>COUNTIFS($L$112:$L$151,"参加",$I$112:$I$151,B47,$D$112:$D$151,"女性")</f>
        <v/>
      </c>
      <c r="H47" s="16">
        <f>IFERROR(E47/E$48,0)</f>
        <v/>
      </c>
      <c r="I47" s="5" t="n"/>
      <c r="J47" s="24" t="n"/>
      <c r="K47" s="24" t="n"/>
    </row>
    <row r="48">
      <c r="B48" s="18" t="inlineStr">
        <is>
          <t>合計</t>
        </is>
      </c>
      <c r="C48" s="19">
        <f>SUM(C39:C47)</f>
        <v/>
      </c>
      <c r="D48" s="19">
        <f>SUM(D39:D47)</f>
        <v/>
      </c>
      <c r="E48" s="19">
        <f>SUM(E39:E47)</f>
        <v/>
      </c>
      <c r="F48" s="19">
        <f>SUM(F39:F47)</f>
        <v/>
      </c>
      <c r="G48" s="19">
        <f>SUM(G39:G47)</f>
        <v/>
      </c>
      <c r="H48" s="16">
        <f>SUM(H39:H47)</f>
        <v/>
      </c>
      <c r="I48" s="6">
        <f>IF(D48&lt;&gt;D22,"※きっかけ未入力の申込者あり","")</f>
        <v/>
      </c>
      <c r="J48" s="25" t="n"/>
      <c r="K48" s="26" t="n"/>
    </row>
    <row r="50">
      <c r="A50" s="20" t="inlineStr">
        <is>
          <t>4. 収支（円・税込）</t>
        </is>
      </c>
      <c r="B50" s="21" t="n"/>
      <c r="C50" s="21" t="n"/>
      <c r="D50" s="21" t="n"/>
      <c r="E50" s="21" t="n"/>
      <c r="F50" s="31" t="inlineStr">
        <is>
          <t>計画は実施前の見込み。実績の会費・物販・ワイン仕入・広告費は自動集計</t>
        </is>
      </c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</row>
    <row r="51">
      <c r="A51" s="12" t="inlineStr"/>
      <c r="B51" s="12" t="inlineStr">
        <is>
          <t>項目</t>
        </is>
      </c>
      <c r="C51" s="12" t="inlineStr">
        <is>
          <t>計画（実施前）</t>
        </is>
      </c>
      <c r="D51" s="12" t="inlineStr">
        <is>
          <t>実績（実施後）</t>
        </is>
      </c>
      <c r="E51" s="12" t="inlineStr">
        <is>
          <t>差異</t>
        </is>
      </c>
      <c r="F51" s="12" t="inlineStr"/>
      <c r="G51" s="12" t="inlineStr">
        <is>
          <t>メモ</t>
        </is>
      </c>
      <c r="H51" s="25" t="n"/>
      <c r="I51" s="25" t="n"/>
      <c r="J51" s="25" t="n"/>
      <c r="K51" s="26" t="n"/>
    </row>
    <row r="52">
      <c r="B52" s="3" t="inlineStr">
        <is>
          <t>売上：会費収入</t>
        </is>
      </c>
      <c r="C52" s="15">
        <f>C23*C14</f>
        <v/>
      </c>
      <c r="D52" s="15">
        <f>SUM($M$112:$M$151)</f>
        <v/>
      </c>
      <c r="E52" s="15">
        <f>D52-C52</f>
        <v/>
      </c>
      <c r="F52" s="9" t="n"/>
      <c r="G52" s="5" t="n"/>
      <c r="H52" s="24" t="n"/>
      <c r="I52" s="24" t="n"/>
      <c r="J52" s="24" t="n"/>
      <c r="K52" s="24" t="n"/>
    </row>
    <row r="53">
      <c r="B53" s="3" t="inlineStr">
        <is>
          <t>売上：ワイン物販</t>
        </is>
      </c>
      <c r="C53" s="30" t="n"/>
      <c r="D53" s="15">
        <f>SUM($O$112:$O$151)</f>
        <v/>
      </c>
      <c r="E53" s="15">
        <f>D53-C53</f>
        <v/>
      </c>
      <c r="F53" s="9" t="n"/>
      <c r="G53" s="5" t="n"/>
      <c r="H53" s="24" t="n"/>
      <c r="I53" s="24" t="n"/>
      <c r="J53" s="24" t="n"/>
      <c r="K53" s="24" t="n"/>
    </row>
    <row r="54">
      <c r="B54" s="3" t="inlineStr">
        <is>
          <t>売上：その他</t>
        </is>
      </c>
      <c r="C54" s="30" t="n"/>
      <c r="D54" s="30" t="n"/>
      <c r="E54" s="15">
        <f>D54-C54</f>
        <v/>
      </c>
      <c r="F54" s="9" t="n"/>
      <c r="G54" s="5" t="n"/>
      <c r="H54" s="24" t="n"/>
      <c r="I54" s="24" t="n"/>
      <c r="J54" s="24" t="n"/>
      <c r="K54" s="24" t="n"/>
    </row>
    <row r="55">
      <c r="B55" s="18" t="inlineStr">
        <is>
          <t>売上 合計</t>
        </is>
      </c>
      <c r="C55" s="19">
        <f>SUM(C52:C54)</f>
        <v/>
      </c>
      <c r="D55" s="19">
        <f>SUM(D52:D54)</f>
        <v/>
      </c>
      <c r="E55" s="15">
        <f>D55-C55</f>
        <v/>
      </c>
      <c r="F55" s="9" t="n"/>
      <c r="G55" s="5" t="n"/>
      <c r="H55" s="24" t="n"/>
      <c r="I55" s="24" t="n"/>
      <c r="J55" s="24" t="n"/>
      <c r="K55" s="24" t="n"/>
    </row>
    <row r="56">
      <c r="B56" s="3" t="inlineStr">
        <is>
          <t>費用：ワイン仕入</t>
        </is>
      </c>
      <c r="C56" s="30" t="n"/>
      <c r="D56" s="15">
        <f>I89</f>
        <v/>
      </c>
      <c r="E56" s="15">
        <f>D56-C56</f>
        <v/>
      </c>
      <c r="F56" s="9" t="n"/>
      <c r="G56" s="5" t="n"/>
      <c r="H56" s="24" t="n"/>
      <c r="I56" s="24" t="n"/>
      <c r="J56" s="24" t="n"/>
      <c r="K56" s="24" t="n"/>
    </row>
    <row r="57">
      <c r="B57" s="3" t="inlineStr">
        <is>
          <t>費用：おつまみ・フード</t>
        </is>
      </c>
      <c r="C57" s="30" t="n"/>
      <c r="D57" s="30" t="n"/>
      <c r="E57" s="15">
        <f>D57-C57</f>
        <v/>
      </c>
      <c r="F57" s="9" t="n"/>
      <c r="G57" s="5" t="n"/>
      <c r="H57" s="24" t="n"/>
      <c r="I57" s="24" t="n"/>
      <c r="J57" s="24" t="n"/>
      <c r="K57" s="24" t="n"/>
    </row>
    <row r="58">
      <c r="B58" s="3" t="inlineStr">
        <is>
          <t>費用：会場費</t>
        </is>
      </c>
      <c r="C58" s="30" t="n"/>
      <c r="D58" s="30" t="n"/>
      <c r="E58" s="15">
        <f>D58-C58</f>
        <v/>
      </c>
      <c r="F58" s="9" t="n"/>
      <c r="G58" s="5" t="n"/>
      <c r="H58" s="24" t="n"/>
      <c r="I58" s="24" t="n"/>
      <c r="J58" s="24" t="n"/>
      <c r="K58" s="24" t="n"/>
    </row>
    <row r="59">
      <c r="B59" s="3" t="inlineStr">
        <is>
          <t>費用：広告費</t>
        </is>
      </c>
      <c r="C59" s="30" t="n"/>
      <c r="D59" s="15">
        <f>E75</f>
        <v/>
      </c>
      <c r="E59" s="15">
        <f>D59-C59</f>
        <v/>
      </c>
      <c r="F59" s="9" t="n"/>
      <c r="G59" s="5" t="n"/>
      <c r="H59" s="24" t="n"/>
      <c r="I59" s="24" t="n"/>
      <c r="J59" s="24" t="n"/>
      <c r="K59" s="24" t="n"/>
    </row>
    <row r="60">
      <c r="B60" s="3" t="inlineStr">
        <is>
          <t>費用：決済手数料</t>
        </is>
      </c>
      <c r="C60" s="30" t="n"/>
      <c r="D60" s="30" t="n"/>
      <c r="E60" s="15">
        <f>D60-C60</f>
        <v/>
      </c>
      <c r="F60" s="9" t="n"/>
      <c r="G60" s="5" t="n"/>
      <c r="H60" s="24" t="n"/>
      <c r="I60" s="24" t="n"/>
      <c r="J60" s="24" t="n"/>
      <c r="K60" s="24" t="n"/>
    </row>
    <row r="61">
      <c r="B61" s="3" t="inlineStr">
        <is>
          <t>費用：人件費・謝礼</t>
        </is>
      </c>
      <c r="C61" s="30" t="n"/>
      <c r="D61" s="30" t="n"/>
      <c r="E61" s="15">
        <f>D61-C61</f>
        <v/>
      </c>
      <c r="F61" s="9" t="n"/>
      <c r="G61" s="5" t="n"/>
      <c r="H61" s="24" t="n"/>
      <c r="I61" s="24" t="n"/>
      <c r="J61" s="24" t="n"/>
      <c r="K61" s="24" t="n"/>
    </row>
    <row r="62">
      <c r="B62" s="3" t="inlineStr">
        <is>
          <t>費用：備品・印刷・消耗品</t>
        </is>
      </c>
      <c r="C62" s="30" t="n"/>
      <c r="D62" s="30" t="n"/>
      <c r="E62" s="15">
        <f>D62-C62</f>
        <v/>
      </c>
      <c r="F62" s="9" t="n"/>
      <c r="G62" s="5" t="n"/>
      <c r="H62" s="24" t="n"/>
      <c r="I62" s="24" t="n"/>
      <c r="J62" s="24" t="n"/>
      <c r="K62" s="24" t="n"/>
    </row>
    <row r="63">
      <c r="B63" s="3" t="inlineStr">
        <is>
          <t>費用：その他</t>
        </is>
      </c>
      <c r="C63" s="30" t="n"/>
      <c r="D63" s="30" t="n"/>
      <c r="E63" s="15">
        <f>D63-C63</f>
        <v/>
      </c>
      <c r="F63" s="9" t="n"/>
      <c r="G63" s="5" t="n"/>
      <c r="H63" s="24" t="n"/>
      <c r="I63" s="24" t="n"/>
      <c r="J63" s="24" t="n"/>
      <c r="K63" s="24" t="n"/>
    </row>
    <row r="64">
      <c r="B64" s="18" t="inlineStr">
        <is>
          <t>費用 合計</t>
        </is>
      </c>
      <c r="C64" s="19">
        <f>SUM(C56:C63)</f>
        <v/>
      </c>
      <c r="D64" s="19">
        <f>SUM(D56:D63)</f>
        <v/>
      </c>
      <c r="E64" s="15">
        <f>D64-C64</f>
        <v/>
      </c>
      <c r="F64" s="9" t="n"/>
      <c r="G64" s="5" t="n"/>
      <c r="H64" s="24" t="n"/>
      <c r="I64" s="24" t="n"/>
      <c r="J64" s="24" t="n"/>
      <c r="K64" s="24" t="n"/>
    </row>
    <row r="65">
      <c r="B65" s="18" t="inlineStr">
        <is>
          <t>粗利（売上−費用）</t>
        </is>
      </c>
      <c r="C65" s="19">
        <f>C55-C64</f>
        <v/>
      </c>
      <c r="D65" s="19">
        <f>D55-D64</f>
        <v/>
      </c>
      <c r="E65" s="15">
        <f>D65-C65</f>
        <v/>
      </c>
      <c r="F65" s="9" t="n"/>
      <c r="G65" s="5" t="n"/>
      <c r="H65" s="24" t="n"/>
      <c r="I65" s="24" t="n"/>
      <c r="J65" s="24" t="n"/>
      <c r="K65" s="24" t="n"/>
    </row>
    <row r="66">
      <c r="B66" s="18" t="inlineStr">
        <is>
          <t>粗利率</t>
        </is>
      </c>
      <c r="C66" s="16">
        <f>IFERROR(C65/C55,0)</f>
        <v/>
      </c>
      <c r="D66" s="16">
        <f>IFERROR(D65/D55,0)</f>
        <v/>
      </c>
      <c r="E66" s="6">
        <f>""</f>
        <v/>
      </c>
      <c r="F66" s="9" t="n"/>
      <c r="G66" s="5" t="n"/>
      <c r="H66" s="24" t="n"/>
      <c r="I66" s="24" t="n"/>
      <c r="J66" s="24" t="n"/>
      <c r="K66" s="24" t="n"/>
    </row>
    <row r="67">
      <c r="B67" s="18" t="inlineStr">
        <is>
          <t>広告CPA（広告費÷広告経由参加者）</t>
        </is>
      </c>
      <c r="C67" s="30" t="n"/>
      <c r="D67" s="15">
        <f>IFERROR(D59/E40,0)</f>
        <v/>
      </c>
      <c r="E67" s="15">
        <f>D67-C67</f>
        <v/>
      </c>
      <c r="F67" s="9" t="n"/>
      <c r="G67" s="5" t="n"/>
      <c r="H67" s="24" t="n"/>
      <c r="I67" s="24" t="n"/>
      <c r="J67" s="24" t="n"/>
      <c r="K67" s="24" t="n"/>
    </row>
    <row r="69">
      <c r="A69" s="20" t="inlineStr">
        <is>
          <t>5. 広告実績（Meta広告など）</t>
        </is>
      </c>
      <c r="B69" s="21" t="n"/>
      <c r="C69" s="21" t="n"/>
      <c r="D69" s="21" t="n"/>
      <c r="E69" s="21" t="n"/>
      <c r="F69" s="31" t="inlineStr">
        <is>
          <t>広告を出さない回は空欄のままでよい。記録の残し方はMeta広告ガイド9-5</t>
        </is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s="12" t="inlineStr"/>
      <c r="B70" s="12" t="inlineStr">
        <is>
          <t>広告セット</t>
        </is>
      </c>
      <c r="C70" s="12" t="inlineStr">
        <is>
          <t>配信期間</t>
        </is>
      </c>
      <c r="D70" s="12" t="inlineStr">
        <is>
          <t>予算（円）</t>
        </is>
      </c>
      <c r="E70" s="12" t="inlineStr">
        <is>
          <t>消化額（円）</t>
        </is>
      </c>
      <c r="F70" s="12" t="inlineStr">
        <is>
          <t>リード数</t>
        </is>
      </c>
      <c r="G70" s="12" t="inlineStr">
        <is>
          <t>CPL（円）</t>
        </is>
      </c>
      <c r="H70" s="12" t="inlineStr">
        <is>
          <t>広告経由参加</t>
        </is>
      </c>
      <c r="I70" s="12" t="inlineStr">
        <is>
          <t>CPA（円）</t>
        </is>
      </c>
      <c r="J70" s="12" t="inlineStr">
        <is>
          <t>メモ</t>
        </is>
      </c>
      <c r="K70" s="26" t="n"/>
    </row>
    <row r="71">
      <c r="B71" s="5" t="n"/>
      <c r="C71" s="5" t="n"/>
      <c r="D71" s="30" t="n"/>
      <c r="E71" s="30" t="n"/>
      <c r="F71" s="30" t="n"/>
      <c r="G71" s="15">
        <f>IFERROR(E71/F71,0)</f>
        <v/>
      </c>
      <c r="H71" s="30" t="n"/>
      <c r="I71" s="15">
        <f>IFERROR(E71/H71,0)</f>
        <v/>
      </c>
      <c r="J71" s="5" t="n"/>
      <c r="K71" s="24" t="n"/>
    </row>
    <row r="72">
      <c r="B72" s="5" t="n"/>
      <c r="C72" s="5" t="n"/>
      <c r="D72" s="30" t="n"/>
      <c r="E72" s="30" t="n"/>
      <c r="F72" s="30" t="n"/>
      <c r="G72" s="15">
        <f>IFERROR(E72/F72,0)</f>
        <v/>
      </c>
      <c r="H72" s="30" t="n"/>
      <c r="I72" s="15">
        <f>IFERROR(E72/H72,0)</f>
        <v/>
      </c>
      <c r="J72" s="5" t="n"/>
      <c r="K72" s="24" t="n"/>
    </row>
    <row r="73">
      <c r="B73" s="5" t="n"/>
      <c r="C73" s="5" t="n"/>
      <c r="D73" s="30" t="n"/>
      <c r="E73" s="30" t="n"/>
      <c r="F73" s="30" t="n"/>
      <c r="G73" s="15">
        <f>IFERROR(E73/F73,0)</f>
        <v/>
      </c>
      <c r="H73" s="30" t="n"/>
      <c r="I73" s="15">
        <f>IFERROR(E73/H73,0)</f>
        <v/>
      </c>
      <c r="J73" s="5" t="n"/>
      <c r="K73" s="24" t="n"/>
    </row>
    <row r="74">
      <c r="B74" s="5" t="n"/>
      <c r="C74" s="5" t="n"/>
      <c r="D74" s="30" t="n"/>
      <c r="E74" s="30" t="n"/>
      <c r="F74" s="30" t="n"/>
      <c r="G74" s="15">
        <f>IFERROR(E74/F74,0)</f>
        <v/>
      </c>
      <c r="H74" s="30" t="n"/>
      <c r="I74" s="15">
        <f>IFERROR(E74/H74,0)</f>
        <v/>
      </c>
      <c r="J74" s="5" t="n"/>
      <c r="K74" s="24" t="n"/>
    </row>
    <row r="75">
      <c r="B75" s="18" t="inlineStr">
        <is>
          <t>合計</t>
        </is>
      </c>
      <c r="C75" s="6">
        <f>""</f>
        <v/>
      </c>
      <c r="D75" s="15">
        <f>SUM(D71:D74)</f>
        <v/>
      </c>
      <c r="E75" s="15">
        <f>SUM(E71:E74)</f>
        <v/>
      </c>
      <c r="F75" s="15">
        <f>SUM(F71:F74)</f>
        <v/>
      </c>
      <c r="G75" s="15">
        <f>IFERROR(E75/F75,0)</f>
        <v/>
      </c>
      <c r="H75" s="15">
        <f>SUM(H71:H74)</f>
        <v/>
      </c>
      <c r="I75" s="15">
        <f>IFERROR(E75/H75,0)</f>
        <v/>
      </c>
    </row>
    <row r="77">
      <c r="A77" s="20" t="inlineStr">
        <is>
          <t>6. 提供ワイン</t>
        </is>
      </c>
      <c r="B77" s="21" t="n"/>
      <c r="C77" s="21" t="n"/>
      <c r="D77" s="21" t="n"/>
      <c r="E77" s="21" t="n"/>
      <c r="F77" s="31" t="inlineStr">
        <is>
          <t>参加者の反応が良かった銘柄は次回・物販の判断材料にする</t>
        </is>
      </c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</row>
    <row r="78">
      <c r="A78" s="12" t="inlineStr">
        <is>
          <t>No</t>
        </is>
      </c>
      <c r="B78" s="12" t="inlineStr">
        <is>
          <t>銘柄</t>
        </is>
      </c>
      <c r="C78" s="12" t="inlineStr">
        <is>
          <t>生産者</t>
        </is>
      </c>
      <c r="D78" s="12" t="inlineStr">
        <is>
          <t>産地</t>
        </is>
      </c>
      <c r="E78" s="12" t="inlineStr">
        <is>
          <t>品種</t>
        </is>
      </c>
      <c r="F78" s="12" t="inlineStr">
        <is>
          <t>タイプ</t>
        </is>
      </c>
      <c r="G78" s="12" t="inlineStr">
        <is>
          <t>仕入単価（円）</t>
        </is>
      </c>
      <c r="H78" s="12" t="inlineStr">
        <is>
          <t>本数</t>
        </is>
      </c>
      <c r="I78" s="12" t="inlineStr">
        <is>
          <t>小計（円）</t>
        </is>
      </c>
      <c r="J78" s="12" t="inlineStr">
        <is>
          <t>反応・評価メモ</t>
        </is>
      </c>
      <c r="K78" s="26" t="n"/>
    </row>
    <row r="79">
      <c r="A79" s="34" t="n">
        <v>1</v>
      </c>
      <c r="B79" s="5" t="n"/>
      <c r="C79" s="5" t="n"/>
      <c r="D79" s="5" t="n"/>
      <c r="E79" s="5" t="n"/>
      <c r="F79" s="5" t="n"/>
      <c r="G79" s="30" t="n"/>
      <c r="H79" s="30" t="n"/>
      <c r="I79" s="15">
        <f>G79*H79</f>
        <v/>
      </c>
      <c r="J79" s="5" t="n"/>
      <c r="K79" s="24" t="n"/>
    </row>
    <row r="80">
      <c r="A80" s="34" t="n">
        <v>2</v>
      </c>
      <c r="B80" s="5" t="n"/>
      <c r="C80" s="5" t="n"/>
      <c r="D80" s="5" t="n"/>
      <c r="E80" s="5" t="n"/>
      <c r="F80" s="5" t="n"/>
      <c r="G80" s="30" t="n"/>
      <c r="H80" s="30" t="n"/>
      <c r="I80" s="15">
        <f>G80*H80</f>
        <v/>
      </c>
      <c r="J80" s="5" t="n"/>
      <c r="K80" s="24" t="n"/>
    </row>
    <row r="81">
      <c r="A81" s="34" t="n">
        <v>3</v>
      </c>
      <c r="B81" s="5" t="n"/>
      <c r="C81" s="5" t="n"/>
      <c r="D81" s="5" t="n"/>
      <c r="E81" s="5" t="n"/>
      <c r="F81" s="5" t="n"/>
      <c r="G81" s="30" t="n"/>
      <c r="H81" s="30" t="n"/>
      <c r="I81" s="15">
        <f>G81*H81</f>
        <v/>
      </c>
      <c r="J81" s="5" t="n"/>
      <c r="K81" s="24" t="n"/>
    </row>
    <row r="82">
      <c r="A82" s="34" t="n">
        <v>4</v>
      </c>
      <c r="B82" s="5" t="n"/>
      <c r="C82" s="5" t="n"/>
      <c r="D82" s="5" t="n"/>
      <c r="E82" s="5" t="n"/>
      <c r="F82" s="5" t="n"/>
      <c r="G82" s="30" t="n"/>
      <c r="H82" s="30" t="n"/>
      <c r="I82" s="15">
        <f>G82*H82</f>
        <v/>
      </c>
      <c r="J82" s="5" t="n"/>
      <c r="K82" s="24" t="n"/>
    </row>
    <row r="83">
      <c r="A83" s="34" t="n">
        <v>5</v>
      </c>
      <c r="B83" s="5" t="n"/>
      <c r="C83" s="5" t="n"/>
      <c r="D83" s="5" t="n"/>
      <c r="E83" s="5" t="n"/>
      <c r="F83" s="5" t="n"/>
      <c r="G83" s="30" t="n"/>
      <c r="H83" s="30" t="n"/>
      <c r="I83" s="15">
        <f>G83*H83</f>
        <v/>
      </c>
      <c r="J83" s="5" t="n"/>
      <c r="K83" s="24" t="n"/>
    </row>
    <row r="84">
      <c r="A84" s="34" t="n">
        <v>6</v>
      </c>
      <c r="B84" s="5" t="n"/>
      <c r="C84" s="5" t="n"/>
      <c r="D84" s="5" t="n"/>
      <c r="E84" s="5" t="n"/>
      <c r="F84" s="5" t="n"/>
      <c r="G84" s="30" t="n"/>
      <c r="H84" s="30" t="n"/>
      <c r="I84" s="15">
        <f>G84*H84</f>
        <v/>
      </c>
      <c r="J84" s="5" t="n"/>
      <c r="K84" s="24" t="n"/>
    </row>
    <row r="85">
      <c r="A85" s="34" t="n">
        <v>7</v>
      </c>
      <c r="B85" s="5" t="n"/>
      <c r="C85" s="5" t="n"/>
      <c r="D85" s="5" t="n"/>
      <c r="E85" s="5" t="n"/>
      <c r="F85" s="5" t="n"/>
      <c r="G85" s="30" t="n"/>
      <c r="H85" s="30" t="n"/>
      <c r="I85" s="15">
        <f>G85*H85</f>
        <v/>
      </c>
      <c r="J85" s="5" t="n"/>
      <c r="K85" s="24" t="n"/>
    </row>
    <row r="86">
      <c r="A86" s="34" t="n">
        <v>8</v>
      </c>
      <c r="B86" s="5" t="n"/>
      <c r="C86" s="5" t="n"/>
      <c r="D86" s="5" t="n"/>
      <c r="E86" s="5" t="n"/>
      <c r="F86" s="5" t="n"/>
      <c r="G86" s="30" t="n"/>
      <c r="H86" s="30" t="n"/>
      <c r="I86" s="15">
        <f>G86*H86</f>
        <v/>
      </c>
      <c r="J86" s="5" t="n"/>
      <c r="K86" s="24" t="n"/>
    </row>
    <row r="87">
      <c r="A87" s="34" t="n">
        <v>9</v>
      </c>
      <c r="B87" s="5" t="n"/>
      <c r="C87" s="5" t="n"/>
      <c r="D87" s="5" t="n"/>
      <c r="E87" s="5" t="n"/>
      <c r="F87" s="5" t="n"/>
      <c r="G87" s="30" t="n"/>
      <c r="H87" s="30" t="n"/>
      <c r="I87" s="15">
        <f>G87*H87</f>
        <v/>
      </c>
      <c r="J87" s="5" t="n"/>
      <c r="K87" s="24" t="n"/>
    </row>
    <row r="88">
      <c r="A88" s="34" t="n">
        <v>10</v>
      </c>
      <c r="B88" s="5" t="n"/>
      <c r="C88" s="5" t="n"/>
      <c r="D88" s="5" t="n"/>
      <c r="E88" s="5" t="n"/>
      <c r="F88" s="5" t="n"/>
      <c r="G88" s="30" t="n"/>
      <c r="H88" s="30" t="n"/>
      <c r="I88" s="15">
        <f>G88*H88</f>
        <v/>
      </c>
      <c r="J88" s="5" t="n"/>
      <c r="K88" s="24" t="n"/>
    </row>
    <row r="89">
      <c r="B89" s="18" t="inlineStr">
        <is>
          <t>合計</t>
        </is>
      </c>
      <c r="H89" s="15">
        <f>SUM(H79:H88)</f>
        <v/>
      </c>
      <c r="I89" s="15">
        <f>SUM(I79:I88)</f>
        <v/>
      </c>
    </row>
    <row r="91">
      <c r="A91" s="20" t="inlineStr">
        <is>
          <t>7. 当日の流れ（タイムテーブル）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s="12" t="inlineStr"/>
      <c r="B92" s="12" t="inlineStr">
        <is>
          <t>時刻</t>
        </is>
      </c>
      <c r="C92" s="12" t="inlineStr">
        <is>
          <t>内容</t>
        </is>
      </c>
      <c r="D92" s="25" t="n"/>
      <c r="E92" s="25" t="n"/>
      <c r="F92" s="26" t="n"/>
      <c r="G92" s="12" t="inlineStr">
        <is>
          <t>担当</t>
        </is>
      </c>
      <c r="H92" s="12" t="inlineStr">
        <is>
          <t>実際の進行・メモ</t>
        </is>
      </c>
      <c r="I92" s="25" t="n"/>
      <c r="J92" s="25" t="n"/>
      <c r="K92" s="26" t="n"/>
    </row>
    <row r="93">
      <c r="B93" s="29" t="n"/>
      <c r="C93" s="5" t="n"/>
      <c r="D93" s="24" t="n"/>
      <c r="E93" s="24" t="n"/>
      <c r="F93" s="24" t="n"/>
      <c r="G93" s="5" t="n"/>
      <c r="H93" s="5" t="n"/>
      <c r="I93" s="24" t="n"/>
      <c r="J93" s="24" t="n"/>
      <c r="K93" s="24" t="n"/>
    </row>
    <row r="94">
      <c r="B94" s="29" t="n"/>
      <c r="C94" s="5" t="n"/>
      <c r="D94" s="24" t="n"/>
      <c r="E94" s="24" t="n"/>
      <c r="F94" s="24" t="n"/>
      <c r="G94" s="5" t="n"/>
      <c r="H94" s="5" t="n"/>
      <c r="I94" s="24" t="n"/>
      <c r="J94" s="24" t="n"/>
      <c r="K94" s="24" t="n"/>
    </row>
    <row r="95">
      <c r="B95" s="29" t="n"/>
      <c r="C95" s="5" t="n"/>
      <c r="D95" s="24" t="n"/>
      <c r="E95" s="24" t="n"/>
      <c r="F95" s="24" t="n"/>
      <c r="G95" s="5" t="n"/>
      <c r="H95" s="5" t="n"/>
      <c r="I95" s="24" t="n"/>
      <c r="J95" s="24" t="n"/>
      <c r="K95" s="24" t="n"/>
    </row>
    <row r="96">
      <c r="B96" s="29" t="n"/>
      <c r="C96" s="5" t="n"/>
      <c r="D96" s="24" t="n"/>
      <c r="E96" s="24" t="n"/>
      <c r="F96" s="24" t="n"/>
      <c r="G96" s="5" t="n"/>
      <c r="H96" s="5" t="n"/>
      <c r="I96" s="24" t="n"/>
      <c r="J96" s="24" t="n"/>
      <c r="K96" s="24" t="n"/>
    </row>
    <row r="97">
      <c r="B97" s="29" t="n"/>
      <c r="C97" s="5" t="n"/>
      <c r="D97" s="24" t="n"/>
      <c r="E97" s="24" t="n"/>
      <c r="F97" s="24" t="n"/>
      <c r="G97" s="5" t="n"/>
      <c r="H97" s="5" t="n"/>
      <c r="I97" s="24" t="n"/>
      <c r="J97" s="24" t="n"/>
      <c r="K97" s="24" t="n"/>
    </row>
    <row r="98">
      <c r="B98" s="29" t="n"/>
      <c r="C98" s="5" t="n"/>
      <c r="D98" s="24" t="n"/>
      <c r="E98" s="24" t="n"/>
      <c r="F98" s="24" t="n"/>
      <c r="G98" s="5" t="n"/>
      <c r="H98" s="5" t="n"/>
      <c r="I98" s="24" t="n"/>
      <c r="J98" s="24" t="n"/>
      <c r="K98" s="24" t="n"/>
    </row>
    <row r="99">
      <c r="B99" s="29" t="n"/>
      <c r="C99" s="5" t="n"/>
      <c r="D99" s="24" t="n"/>
      <c r="E99" s="24" t="n"/>
      <c r="F99" s="24" t="n"/>
      <c r="G99" s="5" t="n"/>
      <c r="H99" s="5" t="n"/>
      <c r="I99" s="24" t="n"/>
      <c r="J99" s="24" t="n"/>
      <c r="K99" s="24" t="n"/>
    </row>
    <row r="100">
      <c r="B100" s="29" t="n"/>
      <c r="C100" s="5" t="n"/>
      <c r="D100" s="24" t="n"/>
      <c r="E100" s="24" t="n"/>
      <c r="F100" s="24" t="n"/>
      <c r="G100" s="5" t="n"/>
      <c r="H100" s="5" t="n"/>
      <c r="I100" s="24" t="n"/>
      <c r="J100" s="24" t="n"/>
      <c r="K100" s="24" t="n"/>
    </row>
    <row r="102">
      <c r="A102" s="20" t="inlineStr">
        <is>
          <t>8. 振り返り（実施後）</t>
        </is>
      </c>
      <c r="B102" s="21" t="n"/>
      <c r="C102" s="21" t="n"/>
      <c r="D102" s="21" t="n"/>
      <c r="E102" s="21" t="n"/>
      <c r="F102" s="31" t="inlineStr">
        <is>
          <t>開催後3日以内に記入 → 責任者が翌回の方針を判断</t>
        </is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</row>
    <row r="103" ht="48" customHeight="1">
      <c r="B103" s="18" t="inlineStr">
        <is>
          <t>良かった点</t>
        </is>
      </c>
      <c r="C103" s="35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 ht="48" customHeight="1">
      <c r="B104" s="18" t="inlineStr">
        <is>
          <t>課題・トラブル</t>
        </is>
      </c>
      <c r="C104" s="35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 ht="48" customHeight="1">
      <c r="B105" s="18" t="inlineStr">
        <is>
          <t>参加者の声（アンケート・会話から）</t>
        </is>
      </c>
      <c r="C105" s="35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 ht="48" customHeight="1">
      <c r="B106" s="18" t="inlineStr">
        <is>
          <t>集客の振り返り（どの階層で詰まったか）</t>
        </is>
      </c>
      <c r="C106" s="35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 ht="48" customHeight="1">
      <c r="B107" s="18" t="inlineStr">
        <is>
          <t>次回の改善アクション（3つまで）</t>
        </is>
      </c>
      <c r="C107" s="35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 ht="48" customHeight="1">
      <c r="B108" s="18" t="inlineStr">
        <is>
          <t>責任者の判断・次回方針</t>
        </is>
      </c>
      <c r="C108" s="35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10">
      <c r="A110" s="20" t="inlineStr">
        <is>
          <t>9. 参加者リスト</t>
        </is>
      </c>
      <c r="B110" s="21" t="n"/>
      <c r="C110" s="21" t="n"/>
      <c r="D110" s="21" t="n"/>
      <c r="E110" s="21" t="n"/>
      <c r="F110" s="31" t="inlineStr">
        <is>
          <t>個人情報を含むため、記入済みファイルはGitHubに置かず、閲覧権限を絞ったGoogleドライブで管理</t>
        </is>
      </c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</row>
    <row r="111" ht="32" customHeight="1">
      <c r="A111" s="12" t="inlineStr">
        <is>
          <t>No</t>
        </is>
      </c>
      <c r="B111" s="12" t="inlineStr">
        <is>
          <t>氏名</t>
        </is>
      </c>
      <c r="C111" s="12" t="inlineStr">
        <is>
          <t>フリガナ</t>
        </is>
      </c>
      <c r="D111" s="12" t="inlineStr">
        <is>
          <t>性別</t>
        </is>
      </c>
      <c r="E111" s="12" t="inlineStr">
        <is>
          <t>年代</t>
        </is>
      </c>
      <c r="F111" s="12" t="inlineStr">
        <is>
          <t>会社・所属</t>
        </is>
      </c>
      <c r="G111" s="12" t="inlineStr">
        <is>
          <t>役職</t>
        </is>
      </c>
      <c r="H111" s="12" t="inlineStr">
        <is>
          <t>新規/リピート</t>
        </is>
      </c>
      <c r="I111" s="12" t="inlineStr">
        <is>
          <t>知ったきっかけ</t>
        </is>
      </c>
      <c r="J111" s="12" t="inlineStr">
        <is>
          <t>申込日</t>
        </is>
      </c>
      <c r="K111" s="12" t="inlineStr">
        <is>
          <t>決済方法</t>
        </is>
      </c>
      <c r="L111" s="12" t="inlineStr">
        <is>
          <t>ステータス</t>
        </is>
      </c>
      <c r="M111" s="12" t="inlineStr">
        <is>
          <t>会費受領額（円）</t>
        </is>
      </c>
      <c r="N111" s="12" t="inlineStr">
        <is>
          <t>入金確認</t>
        </is>
      </c>
      <c r="O111" s="12" t="inlineStr">
        <is>
          <t>物販購入額（円）</t>
        </is>
      </c>
      <c r="P111" s="12" t="inlineStr">
        <is>
          <t>写真掲載</t>
        </is>
      </c>
      <c r="Q111" s="12" t="inlineStr">
        <is>
          <t>満足度（1-5）</t>
        </is>
      </c>
      <c r="R111" s="12" t="inlineStr">
        <is>
          <t>次回参加意向</t>
        </is>
      </c>
      <c r="S111" s="12" t="inlineStr">
        <is>
          <t>備考（アレルギー・領収書宛名など）</t>
        </is>
      </c>
    </row>
    <row r="112">
      <c r="A112" s="34" t="n">
        <v>1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7" t="n"/>
      <c r="K112" s="5" t="n"/>
      <c r="L112" s="5" t="n"/>
      <c r="M112" s="30" t="n"/>
      <c r="N112" s="5" t="n"/>
      <c r="O112" s="30" t="n"/>
      <c r="P112" s="5" t="n"/>
      <c r="Q112" s="30" t="n"/>
      <c r="R112" s="5" t="n"/>
      <c r="S112" s="5" t="n"/>
    </row>
    <row r="113">
      <c r="A113" s="34" t="n">
        <v>2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7" t="n"/>
      <c r="K113" s="5" t="n"/>
      <c r="L113" s="5" t="n"/>
      <c r="M113" s="30" t="n"/>
      <c r="N113" s="5" t="n"/>
      <c r="O113" s="30" t="n"/>
      <c r="P113" s="5" t="n"/>
      <c r="Q113" s="30" t="n"/>
      <c r="R113" s="5" t="n"/>
      <c r="S113" s="5" t="n"/>
    </row>
    <row r="114">
      <c r="A114" s="34" t="n">
        <v>3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7" t="n"/>
      <c r="K114" s="5" t="n"/>
      <c r="L114" s="5" t="n"/>
      <c r="M114" s="30" t="n"/>
      <c r="N114" s="5" t="n"/>
      <c r="O114" s="30" t="n"/>
      <c r="P114" s="5" t="n"/>
      <c r="Q114" s="30" t="n"/>
      <c r="R114" s="5" t="n"/>
      <c r="S114" s="5" t="n"/>
    </row>
    <row r="115">
      <c r="A115" s="34" t="n">
        <v>4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7" t="n"/>
      <c r="K115" s="5" t="n"/>
      <c r="L115" s="5" t="n"/>
      <c r="M115" s="30" t="n"/>
      <c r="N115" s="5" t="n"/>
      <c r="O115" s="30" t="n"/>
      <c r="P115" s="5" t="n"/>
      <c r="Q115" s="30" t="n"/>
      <c r="R115" s="5" t="n"/>
      <c r="S115" s="5" t="n"/>
    </row>
    <row r="116">
      <c r="A116" s="34" t="n">
        <v>5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7" t="n"/>
      <c r="K116" s="5" t="n"/>
      <c r="L116" s="5" t="n"/>
      <c r="M116" s="30" t="n"/>
      <c r="N116" s="5" t="n"/>
      <c r="O116" s="30" t="n"/>
      <c r="P116" s="5" t="n"/>
      <c r="Q116" s="30" t="n"/>
      <c r="R116" s="5" t="n"/>
      <c r="S116" s="5" t="n"/>
    </row>
    <row r="117">
      <c r="A117" s="34" t="n">
        <v>6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7" t="n"/>
      <c r="K117" s="5" t="n"/>
      <c r="L117" s="5" t="n"/>
      <c r="M117" s="30" t="n"/>
      <c r="N117" s="5" t="n"/>
      <c r="O117" s="30" t="n"/>
      <c r="P117" s="5" t="n"/>
      <c r="Q117" s="30" t="n"/>
      <c r="R117" s="5" t="n"/>
      <c r="S117" s="5" t="n"/>
    </row>
    <row r="118">
      <c r="A118" s="34" t="n">
        <v>7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7" t="n"/>
      <c r="K118" s="5" t="n"/>
      <c r="L118" s="5" t="n"/>
      <c r="M118" s="30" t="n"/>
      <c r="N118" s="5" t="n"/>
      <c r="O118" s="30" t="n"/>
      <c r="P118" s="5" t="n"/>
      <c r="Q118" s="30" t="n"/>
      <c r="R118" s="5" t="n"/>
      <c r="S118" s="5" t="n"/>
    </row>
    <row r="119">
      <c r="A119" s="34" t="n">
        <v>8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7" t="n"/>
      <c r="K119" s="5" t="n"/>
      <c r="L119" s="5" t="n"/>
      <c r="M119" s="30" t="n"/>
      <c r="N119" s="5" t="n"/>
      <c r="O119" s="30" t="n"/>
      <c r="P119" s="5" t="n"/>
      <c r="Q119" s="30" t="n"/>
      <c r="R119" s="5" t="n"/>
      <c r="S119" s="5" t="n"/>
    </row>
    <row r="120">
      <c r="A120" s="34" t="n">
        <v>9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7" t="n"/>
      <c r="K120" s="5" t="n"/>
      <c r="L120" s="5" t="n"/>
      <c r="M120" s="30" t="n"/>
      <c r="N120" s="5" t="n"/>
      <c r="O120" s="30" t="n"/>
      <c r="P120" s="5" t="n"/>
      <c r="Q120" s="30" t="n"/>
      <c r="R120" s="5" t="n"/>
      <c r="S120" s="5" t="n"/>
    </row>
    <row r="121">
      <c r="A121" s="34" t="n">
        <v>10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7" t="n"/>
      <c r="K121" s="5" t="n"/>
      <c r="L121" s="5" t="n"/>
      <c r="M121" s="30" t="n"/>
      <c r="N121" s="5" t="n"/>
      <c r="O121" s="30" t="n"/>
      <c r="P121" s="5" t="n"/>
      <c r="Q121" s="30" t="n"/>
      <c r="R121" s="5" t="n"/>
      <c r="S121" s="5" t="n"/>
    </row>
    <row r="122">
      <c r="A122" s="34" t="n">
        <v>11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7" t="n"/>
      <c r="K122" s="5" t="n"/>
      <c r="L122" s="5" t="n"/>
      <c r="M122" s="30" t="n"/>
      <c r="N122" s="5" t="n"/>
      <c r="O122" s="30" t="n"/>
      <c r="P122" s="5" t="n"/>
      <c r="Q122" s="30" t="n"/>
      <c r="R122" s="5" t="n"/>
      <c r="S122" s="5" t="n"/>
    </row>
    <row r="123">
      <c r="A123" s="34" t="n">
        <v>12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7" t="n"/>
      <c r="K123" s="5" t="n"/>
      <c r="L123" s="5" t="n"/>
      <c r="M123" s="30" t="n"/>
      <c r="N123" s="5" t="n"/>
      <c r="O123" s="30" t="n"/>
      <c r="P123" s="5" t="n"/>
      <c r="Q123" s="30" t="n"/>
      <c r="R123" s="5" t="n"/>
      <c r="S123" s="5" t="n"/>
    </row>
    <row r="124">
      <c r="A124" s="34" t="n">
        <v>13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7" t="n"/>
      <c r="K124" s="5" t="n"/>
      <c r="L124" s="5" t="n"/>
      <c r="M124" s="30" t="n"/>
      <c r="N124" s="5" t="n"/>
      <c r="O124" s="30" t="n"/>
      <c r="P124" s="5" t="n"/>
      <c r="Q124" s="30" t="n"/>
      <c r="R124" s="5" t="n"/>
      <c r="S124" s="5" t="n"/>
    </row>
    <row r="125">
      <c r="A125" s="34" t="n">
        <v>14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7" t="n"/>
      <c r="K125" s="5" t="n"/>
      <c r="L125" s="5" t="n"/>
      <c r="M125" s="30" t="n"/>
      <c r="N125" s="5" t="n"/>
      <c r="O125" s="30" t="n"/>
      <c r="P125" s="5" t="n"/>
      <c r="Q125" s="30" t="n"/>
      <c r="R125" s="5" t="n"/>
      <c r="S125" s="5" t="n"/>
    </row>
    <row r="126">
      <c r="A126" s="34" t="n">
        <v>15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7" t="n"/>
      <c r="K126" s="5" t="n"/>
      <c r="L126" s="5" t="n"/>
      <c r="M126" s="30" t="n"/>
      <c r="N126" s="5" t="n"/>
      <c r="O126" s="30" t="n"/>
      <c r="P126" s="5" t="n"/>
      <c r="Q126" s="30" t="n"/>
      <c r="R126" s="5" t="n"/>
      <c r="S126" s="5" t="n"/>
    </row>
    <row r="127">
      <c r="A127" s="34" t="n">
        <v>16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7" t="n"/>
      <c r="K127" s="5" t="n"/>
      <c r="L127" s="5" t="n"/>
      <c r="M127" s="30" t="n"/>
      <c r="N127" s="5" t="n"/>
      <c r="O127" s="30" t="n"/>
      <c r="P127" s="5" t="n"/>
      <c r="Q127" s="30" t="n"/>
      <c r="R127" s="5" t="n"/>
      <c r="S127" s="5" t="n"/>
    </row>
    <row r="128">
      <c r="A128" s="34" t="n">
        <v>17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7" t="n"/>
      <c r="K128" s="5" t="n"/>
      <c r="L128" s="5" t="n"/>
      <c r="M128" s="30" t="n"/>
      <c r="N128" s="5" t="n"/>
      <c r="O128" s="30" t="n"/>
      <c r="P128" s="5" t="n"/>
      <c r="Q128" s="30" t="n"/>
      <c r="R128" s="5" t="n"/>
      <c r="S128" s="5" t="n"/>
    </row>
    <row r="129">
      <c r="A129" s="34" t="n">
        <v>18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7" t="n"/>
      <c r="K129" s="5" t="n"/>
      <c r="L129" s="5" t="n"/>
      <c r="M129" s="30" t="n"/>
      <c r="N129" s="5" t="n"/>
      <c r="O129" s="30" t="n"/>
      <c r="P129" s="5" t="n"/>
      <c r="Q129" s="30" t="n"/>
      <c r="R129" s="5" t="n"/>
      <c r="S129" s="5" t="n"/>
    </row>
    <row r="130">
      <c r="A130" s="34" t="n">
        <v>19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27" t="n"/>
      <c r="K130" s="5" t="n"/>
      <c r="L130" s="5" t="n"/>
      <c r="M130" s="30" t="n"/>
      <c r="N130" s="5" t="n"/>
      <c r="O130" s="30" t="n"/>
      <c r="P130" s="5" t="n"/>
      <c r="Q130" s="30" t="n"/>
      <c r="R130" s="5" t="n"/>
      <c r="S130" s="5" t="n"/>
    </row>
    <row r="131">
      <c r="A131" s="34" t="n">
        <v>20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27" t="n"/>
      <c r="K131" s="5" t="n"/>
      <c r="L131" s="5" t="n"/>
      <c r="M131" s="30" t="n"/>
      <c r="N131" s="5" t="n"/>
      <c r="O131" s="30" t="n"/>
      <c r="P131" s="5" t="n"/>
      <c r="Q131" s="30" t="n"/>
      <c r="R131" s="5" t="n"/>
      <c r="S131" s="5" t="n"/>
    </row>
    <row r="132">
      <c r="A132" s="34" t="n">
        <v>21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27" t="n"/>
      <c r="K132" s="5" t="n"/>
      <c r="L132" s="5" t="n"/>
      <c r="M132" s="30" t="n"/>
      <c r="N132" s="5" t="n"/>
      <c r="O132" s="30" t="n"/>
      <c r="P132" s="5" t="n"/>
      <c r="Q132" s="30" t="n"/>
      <c r="R132" s="5" t="n"/>
      <c r="S132" s="5" t="n"/>
    </row>
    <row r="133">
      <c r="A133" s="34" t="n">
        <v>22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27" t="n"/>
      <c r="K133" s="5" t="n"/>
      <c r="L133" s="5" t="n"/>
      <c r="M133" s="30" t="n"/>
      <c r="N133" s="5" t="n"/>
      <c r="O133" s="30" t="n"/>
      <c r="P133" s="5" t="n"/>
      <c r="Q133" s="30" t="n"/>
      <c r="R133" s="5" t="n"/>
      <c r="S133" s="5" t="n"/>
    </row>
    <row r="134">
      <c r="A134" s="34" t="n">
        <v>23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27" t="n"/>
      <c r="K134" s="5" t="n"/>
      <c r="L134" s="5" t="n"/>
      <c r="M134" s="30" t="n"/>
      <c r="N134" s="5" t="n"/>
      <c r="O134" s="30" t="n"/>
      <c r="P134" s="5" t="n"/>
      <c r="Q134" s="30" t="n"/>
      <c r="R134" s="5" t="n"/>
      <c r="S134" s="5" t="n"/>
    </row>
    <row r="135">
      <c r="A135" s="34" t="n">
        <v>24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27" t="n"/>
      <c r="K135" s="5" t="n"/>
      <c r="L135" s="5" t="n"/>
      <c r="M135" s="30" t="n"/>
      <c r="N135" s="5" t="n"/>
      <c r="O135" s="30" t="n"/>
      <c r="P135" s="5" t="n"/>
      <c r="Q135" s="30" t="n"/>
      <c r="R135" s="5" t="n"/>
      <c r="S135" s="5" t="n"/>
    </row>
    <row r="136">
      <c r="A136" s="34" t="n">
        <v>25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27" t="n"/>
      <c r="K136" s="5" t="n"/>
      <c r="L136" s="5" t="n"/>
      <c r="M136" s="30" t="n"/>
      <c r="N136" s="5" t="n"/>
      <c r="O136" s="30" t="n"/>
      <c r="P136" s="5" t="n"/>
      <c r="Q136" s="30" t="n"/>
      <c r="R136" s="5" t="n"/>
      <c r="S136" s="5" t="n"/>
    </row>
    <row r="137">
      <c r="A137" s="34" t="n">
        <v>26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27" t="n"/>
      <c r="K137" s="5" t="n"/>
      <c r="L137" s="5" t="n"/>
      <c r="M137" s="30" t="n"/>
      <c r="N137" s="5" t="n"/>
      <c r="O137" s="30" t="n"/>
      <c r="P137" s="5" t="n"/>
      <c r="Q137" s="30" t="n"/>
      <c r="R137" s="5" t="n"/>
      <c r="S137" s="5" t="n"/>
    </row>
    <row r="138">
      <c r="A138" s="34" t="n">
        <v>27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27" t="n"/>
      <c r="K138" s="5" t="n"/>
      <c r="L138" s="5" t="n"/>
      <c r="M138" s="30" t="n"/>
      <c r="N138" s="5" t="n"/>
      <c r="O138" s="30" t="n"/>
      <c r="P138" s="5" t="n"/>
      <c r="Q138" s="30" t="n"/>
      <c r="R138" s="5" t="n"/>
      <c r="S138" s="5" t="n"/>
    </row>
    <row r="139">
      <c r="A139" s="34" t="n">
        <v>28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27" t="n"/>
      <c r="K139" s="5" t="n"/>
      <c r="L139" s="5" t="n"/>
      <c r="M139" s="30" t="n"/>
      <c r="N139" s="5" t="n"/>
      <c r="O139" s="30" t="n"/>
      <c r="P139" s="5" t="n"/>
      <c r="Q139" s="30" t="n"/>
      <c r="R139" s="5" t="n"/>
      <c r="S139" s="5" t="n"/>
    </row>
    <row r="140">
      <c r="A140" s="34" t="n">
        <v>29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27" t="n"/>
      <c r="K140" s="5" t="n"/>
      <c r="L140" s="5" t="n"/>
      <c r="M140" s="30" t="n"/>
      <c r="N140" s="5" t="n"/>
      <c r="O140" s="30" t="n"/>
      <c r="P140" s="5" t="n"/>
      <c r="Q140" s="30" t="n"/>
      <c r="R140" s="5" t="n"/>
      <c r="S140" s="5" t="n"/>
    </row>
    <row r="141">
      <c r="A141" s="34" t="n">
        <v>30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27" t="n"/>
      <c r="K141" s="5" t="n"/>
      <c r="L141" s="5" t="n"/>
      <c r="M141" s="30" t="n"/>
      <c r="N141" s="5" t="n"/>
      <c r="O141" s="30" t="n"/>
      <c r="P141" s="5" t="n"/>
      <c r="Q141" s="30" t="n"/>
      <c r="R141" s="5" t="n"/>
      <c r="S141" s="5" t="n"/>
    </row>
    <row r="142">
      <c r="A142" s="34" t="n">
        <v>31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27" t="n"/>
      <c r="K142" s="5" t="n"/>
      <c r="L142" s="5" t="n"/>
      <c r="M142" s="30" t="n"/>
      <c r="N142" s="5" t="n"/>
      <c r="O142" s="30" t="n"/>
      <c r="P142" s="5" t="n"/>
      <c r="Q142" s="30" t="n"/>
      <c r="R142" s="5" t="n"/>
      <c r="S142" s="5" t="n"/>
    </row>
    <row r="143">
      <c r="A143" s="34" t="n">
        <v>32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27" t="n"/>
      <c r="K143" s="5" t="n"/>
      <c r="L143" s="5" t="n"/>
      <c r="M143" s="30" t="n"/>
      <c r="N143" s="5" t="n"/>
      <c r="O143" s="30" t="n"/>
      <c r="P143" s="5" t="n"/>
      <c r="Q143" s="30" t="n"/>
      <c r="R143" s="5" t="n"/>
      <c r="S143" s="5" t="n"/>
    </row>
    <row r="144">
      <c r="A144" s="34" t="n">
        <v>33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27" t="n"/>
      <c r="K144" s="5" t="n"/>
      <c r="L144" s="5" t="n"/>
      <c r="M144" s="30" t="n"/>
      <c r="N144" s="5" t="n"/>
      <c r="O144" s="30" t="n"/>
      <c r="P144" s="5" t="n"/>
      <c r="Q144" s="30" t="n"/>
      <c r="R144" s="5" t="n"/>
      <c r="S144" s="5" t="n"/>
    </row>
    <row r="145">
      <c r="A145" s="34" t="n">
        <v>34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27" t="n"/>
      <c r="K145" s="5" t="n"/>
      <c r="L145" s="5" t="n"/>
      <c r="M145" s="30" t="n"/>
      <c r="N145" s="5" t="n"/>
      <c r="O145" s="30" t="n"/>
      <c r="P145" s="5" t="n"/>
      <c r="Q145" s="30" t="n"/>
      <c r="R145" s="5" t="n"/>
      <c r="S145" s="5" t="n"/>
    </row>
    <row r="146">
      <c r="A146" s="34" t="n">
        <v>35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27" t="n"/>
      <c r="K146" s="5" t="n"/>
      <c r="L146" s="5" t="n"/>
      <c r="M146" s="30" t="n"/>
      <c r="N146" s="5" t="n"/>
      <c r="O146" s="30" t="n"/>
      <c r="P146" s="5" t="n"/>
      <c r="Q146" s="30" t="n"/>
      <c r="R146" s="5" t="n"/>
      <c r="S146" s="5" t="n"/>
    </row>
    <row r="147">
      <c r="A147" s="34" t="n">
        <v>36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27" t="n"/>
      <c r="K147" s="5" t="n"/>
      <c r="L147" s="5" t="n"/>
      <c r="M147" s="30" t="n"/>
      <c r="N147" s="5" t="n"/>
      <c r="O147" s="30" t="n"/>
      <c r="P147" s="5" t="n"/>
      <c r="Q147" s="30" t="n"/>
      <c r="R147" s="5" t="n"/>
      <c r="S147" s="5" t="n"/>
    </row>
    <row r="148">
      <c r="A148" s="34" t="n">
        <v>37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27" t="n"/>
      <c r="K148" s="5" t="n"/>
      <c r="L148" s="5" t="n"/>
      <c r="M148" s="30" t="n"/>
      <c r="N148" s="5" t="n"/>
      <c r="O148" s="30" t="n"/>
      <c r="P148" s="5" t="n"/>
      <c r="Q148" s="30" t="n"/>
      <c r="R148" s="5" t="n"/>
      <c r="S148" s="5" t="n"/>
    </row>
    <row r="149">
      <c r="A149" s="34" t="n">
        <v>38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27" t="n"/>
      <c r="K149" s="5" t="n"/>
      <c r="L149" s="5" t="n"/>
      <c r="M149" s="30" t="n"/>
      <c r="N149" s="5" t="n"/>
      <c r="O149" s="30" t="n"/>
      <c r="P149" s="5" t="n"/>
      <c r="Q149" s="30" t="n"/>
      <c r="R149" s="5" t="n"/>
      <c r="S149" s="5" t="n"/>
    </row>
    <row r="150">
      <c r="A150" s="34" t="n">
        <v>39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27" t="n"/>
      <c r="K150" s="5" t="n"/>
      <c r="L150" s="5" t="n"/>
      <c r="M150" s="30" t="n"/>
      <c r="N150" s="5" t="n"/>
      <c r="O150" s="30" t="n"/>
      <c r="P150" s="5" t="n"/>
      <c r="Q150" s="30" t="n"/>
      <c r="R150" s="5" t="n"/>
      <c r="S150" s="5" t="n"/>
    </row>
    <row r="151">
      <c r="A151" s="34" t="n">
        <v>40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27" t="n"/>
      <c r="K151" s="5" t="n"/>
      <c r="L151" s="5" t="n"/>
      <c r="M151" s="30" t="n"/>
      <c r="N151" s="5" t="n"/>
      <c r="O151" s="30" t="n"/>
      <c r="P151" s="5" t="n"/>
      <c r="Q151" s="30" t="n"/>
      <c r="R151" s="5" t="n"/>
      <c r="S151" s="5" t="n"/>
    </row>
  </sheetData>
  <mergeCells count="112">
    <mergeCell ref="J82:K82"/>
    <mergeCell ref="G59:K59"/>
    <mergeCell ref="G13:I13"/>
    <mergeCell ref="G67:K67"/>
    <mergeCell ref="G61:K61"/>
    <mergeCell ref="C105:K105"/>
    <mergeCell ref="G15:I15"/>
    <mergeCell ref="C7:E7"/>
    <mergeCell ref="G62:K62"/>
    <mergeCell ref="J86:K86"/>
    <mergeCell ref="G16:I16"/>
    <mergeCell ref="G24:K24"/>
    <mergeCell ref="C18:E18"/>
    <mergeCell ref="G33:K33"/>
    <mergeCell ref="G9:I9"/>
    <mergeCell ref="G65:K65"/>
    <mergeCell ref="C93:F93"/>
    <mergeCell ref="G26:K26"/>
    <mergeCell ref="G35:K35"/>
    <mergeCell ref="G63:K63"/>
    <mergeCell ref="I45:K45"/>
    <mergeCell ref="G25:K25"/>
    <mergeCell ref="J71:K71"/>
    <mergeCell ref="G60:K60"/>
    <mergeCell ref="I47:K47"/>
    <mergeCell ref="G52:K52"/>
    <mergeCell ref="J73:K73"/>
    <mergeCell ref="G6:I6"/>
    <mergeCell ref="H96:K96"/>
    <mergeCell ref="J88:K88"/>
    <mergeCell ref="C12:E12"/>
    <mergeCell ref="G14:I14"/>
    <mergeCell ref="C96:F96"/>
    <mergeCell ref="C92:F92"/>
    <mergeCell ref="G28:K28"/>
    <mergeCell ref="J83:K83"/>
    <mergeCell ref="C98:F98"/>
    <mergeCell ref="H93:K93"/>
    <mergeCell ref="G30:K30"/>
    <mergeCell ref="C13:E13"/>
    <mergeCell ref="J85:K85"/>
    <mergeCell ref="M4:O4"/>
    <mergeCell ref="C15:E15"/>
    <mergeCell ref="G55:K55"/>
    <mergeCell ref="G4:K4"/>
    <mergeCell ref="G64:K64"/>
    <mergeCell ref="C108:K108"/>
    <mergeCell ref="H94:K94"/>
    <mergeCell ref="G51:K51"/>
    <mergeCell ref="G54:K54"/>
    <mergeCell ref="G32:K32"/>
    <mergeCell ref="G8:I8"/>
    <mergeCell ref="G17:I17"/>
    <mergeCell ref="C10:E10"/>
    <mergeCell ref="C16:E16"/>
    <mergeCell ref="G56:K56"/>
    <mergeCell ref="G10:I10"/>
    <mergeCell ref="J81:K81"/>
    <mergeCell ref="C9:E9"/>
    <mergeCell ref="G27:K27"/>
    <mergeCell ref="C11:E11"/>
    <mergeCell ref="H97:K97"/>
    <mergeCell ref="G5:I5"/>
    <mergeCell ref="I39:K39"/>
    <mergeCell ref="G66:K66"/>
    <mergeCell ref="I48:K48"/>
    <mergeCell ref="G53:K53"/>
    <mergeCell ref="C106:K106"/>
    <mergeCell ref="J74:K74"/>
    <mergeCell ref="I38:K38"/>
    <mergeCell ref="C97:F97"/>
    <mergeCell ref="G58:K58"/>
    <mergeCell ref="C100:F100"/>
    <mergeCell ref="I40:K40"/>
    <mergeCell ref="C94:F94"/>
    <mergeCell ref="G12:I12"/>
    <mergeCell ref="C6:E6"/>
    <mergeCell ref="C14:E14"/>
    <mergeCell ref="G29:K29"/>
    <mergeCell ref="C104:K104"/>
    <mergeCell ref="H100:K100"/>
    <mergeCell ref="C95:F95"/>
    <mergeCell ref="G31:K31"/>
    <mergeCell ref="G7:I7"/>
    <mergeCell ref="I41:K41"/>
    <mergeCell ref="G21:K21"/>
    <mergeCell ref="C103:K103"/>
    <mergeCell ref="J72:K72"/>
    <mergeCell ref="I43:K43"/>
    <mergeCell ref="H95:K95"/>
    <mergeCell ref="G23:K23"/>
    <mergeCell ref="J84:K84"/>
    <mergeCell ref="J78:K78"/>
    <mergeCell ref="J87:K87"/>
    <mergeCell ref="I42:K42"/>
    <mergeCell ref="H92:K92"/>
    <mergeCell ref="C8:E8"/>
    <mergeCell ref="J80:K80"/>
    <mergeCell ref="C17:E17"/>
    <mergeCell ref="G57:K57"/>
    <mergeCell ref="I44:K44"/>
    <mergeCell ref="J70:K70"/>
    <mergeCell ref="J79:K79"/>
    <mergeCell ref="G34:K34"/>
    <mergeCell ref="H98:K98"/>
    <mergeCell ref="C99:F99"/>
    <mergeCell ref="G11:I11"/>
    <mergeCell ref="I46:K46"/>
    <mergeCell ref="C5:E5"/>
    <mergeCell ref="C107:K107"/>
    <mergeCell ref="G22:K22"/>
    <mergeCell ref="H99:K99"/>
  </mergeCells>
  <dataValidations count="14">
    <dataValidation sqref="C18" showDropDown="0" showInputMessage="0" showErrorMessage="0" allowBlank="1" type="list">
      <formula1>"企画中,募集中,実施済,中止"</formula1>
    </dataValidation>
    <dataValidation sqref="C7" showDropDown="0" showInputMessage="0" showErrorMessage="0" allowBlank="1" type="list">
      <formula1>"経営者交流（Class-E）,for Beginner,その他"</formula1>
    </dataValidation>
    <dataValidation sqref="K6 K7 K8 K9 K10 K11 K12 K13 K14 K15 K16 K17" showDropDown="0" showInputMessage="0" showErrorMessage="0" allowBlank="1" type="list">
      <formula1>"未着手,対応中,完了,対象外"</formula1>
    </dataValidation>
    <dataValidation sqref="F79:F88" showDropDown="0" showInputMessage="0" showErrorMessage="0" allowBlank="1" type="list">
      <formula1>"白,赤,ロゼ,スパークリング,オレンジ,甘口・貴腐,その他"</formula1>
    </dataValidation>
    <dataValidation sqref="D112:D151" showDropDown="0" showInputMessage="0" showErrorMessage="0" allowBlank="1" type="list">
      <formula1>"男性,女性,その他・回答なし"</formula1>
    </dataValidation>
    <dataValidation sqref="E112:E151" showDropDown="0" showInputMessage="0" showErrorMessage="0" allowBlank="1" type="list">
      <formula1>"20代,30代,40代,50代,60代以上"</formula1>
    </dataValidation>
    <dataValidation sqref="H112:H151" showDropDown="0" showInputMessage="0" showErrorMessage="0" allowBlank="1" type="list">
      <formula1>"新規,リピーター"</formula1>
    </dataValidation>
    <dataValidation sqref="I112:I151" showDropDown="0" showInputMessage="0" showErrorMessage="0" allowBlank="1" type="list">
      <formula1>"Instagram,Meta広告,LINE,知人・紹介,以前参加,イベントサイト,メールマガジン,検索,その他"</formula1>
    </dataValidation>
    <dataValidation sqref="K112:K151" showDropDown="0" showInputMessage="0" showErrorMessage="0" allowBlank="1" type="list">
      <formula1>"クレジットカード,銀行振込,当日現金,その他"</formula1>
    </dataValidation>
    <dataValidation sqref="L112:L151" showDropDown="0" showInputMessage="0" showErrorMessage="0" allowBlank="1" type="list">
      <formula1>"申込,参加,キャンセル,無断欠席"</formula1>
    </dataValidation>
    <dataValidation sqref="N112:N151" showDropDown="0" showInputMessage="0" showErrorMessage="0" allowBlank="1" type="list">
      <formula1>"済,未"</formula1>
    </dataValidation>
    <dataValidation sqref="P112:P151" showDropDown="0" showInputMessage="0" showErrorMessage="0" allowBlank="1" type="list">
      <formula1>"同意,不可"</formula1>
    </dataValidation>
    <dataValidation sqref="Q112:Q151" showDropDown="0" showInputMessage="0" showErrorMessage="0" allowBlank="1" type="list">
      <formula1>"1,2,3,4,5"</formula1>
    </dataValidation>
    <dataValidation sqref="R112:R151" showDropDown="0" showInputMessage="0" showErrorMessage="0" allowBlank="1" type="list">
      <formula1>"あり,未定,なし"</formula1>
    </dataValidation>
  </dataValidation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S1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1" customWidth="1" min="8" max="8"/>
    <col width="16" customWidth="1" min="9" max="9"/>
    <col width="12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1" customWidth="1" min="16" max="16"/>
    <col width="10" customWidth="1" min="17" max="17"/>
    <col width="12" customWidth="1" min="18" max="18"/>
    <col width="28" customWidth="1" min="19" max="19"/>
  </cols>
  <sheetData>
    <row r="1">
      <c r="A1" s="1" t="inlineStr">
        <is>
          <t>【記入例】ワイン会 実施前後レポート（架空のデータ・集計対象外）</t>
        </is>
      </c>
    </row>
    <row r="2">
      <c r="A2" s="7" t="inlineStr">
        <is>
          <t>黄色セル＝入力 ／ グレーセル＝自動計算（触らない）。実施前は【計画】列、実施後は【実績】列と参加者リストを記入。</t>
        </is>
      </c>
    </row>
    <row r="3"/>
    <row r="4">
      <c r="A4" s="20" t="inlineStr">
        <is>
          <t>1. 基本情報</t>
        </is>
      </c>
      <c r="B4" s="21" t="n"/>
      <c r="C4" s="21" t="n"/>
      <c r="D4" s="21" t="n"/>
      <c r="E4" s="21" t="n"/>
      <c r="F4" s="21" t="n"/>
      <c r="G4" s="22" t="inlineStr">
        <is>
          <t>実施前チェックリスト</t>
        </is>
      </c>
      <c r="H4" s="23" t="n"/>
      <c r="I4" s="23" t="n"/>
      <c r="J4" s="23" t="n"/>
      <c r="K4" s="23" t="n"/>
      <c r="L4" s="21" t="n"/>
      <c r="M4" s="22" t="inlineStr">
        <is>
          <t>準備の進捗</t>
        </is>
      </c>
      <c r="N4" s="23" t="n"/>
      <c r="O4" s="23" t="n"/>
      <c r="P4" s="21" t="n"/>
      <c r="Q4" s="21" t="n"/>
      <c r="R4" s="21" t="n"/>
      <c r="S4" s="21" t="n"/>
    </row>
    <row r="5">
      <c r="B5" s="18" t="inlineStr">
        <is>
          <t>回No</t>
        </is>
      </c>
      <c r="C5" s="5" t="n">
        <v>99</v>
      </c>
      <c r="D5" s="24" t="n"/>
      <c r="E5" s="24" t="n"/>
      <c r="G5" s="12" t="inlineStr">
        <is>
          <t>項目</t>
        </is>
      </c>
      <c r="H5" s="25" t="n"/>
      <c r="I5" s="26" t="n"/>
      <c r="J5" s="12" t="inlineStr">
        <is>
          <t>期限</t>
        </is>
      </c>
      <c r="K5" s="12" t="inlineStr">
        <is>
          <t>状況</t>
        </is>
      </c>
      <c r="M5" s="18" t="inlineStr">
        <is>
          <t>完了</t>
        </is>
      </c>
      <c r="N5" s="6">
        <f>COUNTIF(K6:K17,"完了")&amp;" / "&amp;(COUNTA(K6:K17)-COUNTIF(K6:K17,"対象外"))</f>
        <v/>
      </c>
    </row>
    <row r="6">
      <c r="B6" s="18" t="inlineStr">
        <is>
          <t>イベント名</t>
        </is>
      </c>
      <c r="C6" s="5" t="inlineStr">
        <is>
          <t>（記入例）ハンガリーワイン会 for Beginner</t>
        </is>
      </c>
      <c r="D6" s="24" t="n"/>
      <c r="E6" s="24" t="n"/>
      <c r="G6" s="5" t="inlineStr">
        <is>
          <t>会場予約の確定</t>
        </is>
      </c>
      <c r="H6" s="24" t="n"/>
      <c r="I6" s="24" t="n"/>
      <c r="J6" s="27" t="n"/>
      <c r="K6" s="5" t="inlineStr">
        <is>
          <t>完了</t>
        </is>
      </c>
    </row>
    <row r="7">
      <c r="B7" s="18" t="inlineStr">
        <is>
          <t>種別</t>
        </is>
      </c>
      <c r="C7" s="5" t="inlineStr">
        <is>
          <t>for Beginner</t>
        </is>
      </c>
      <c r="D7" s="24" t="n"/>
      <c r="E7" s="24" t="n"/>
      <c r="G7" s="5" t="inlineStr">
        <is>
          <t>提供ワイン確定・発注</t>
        </is>
      </c>
      <c r="H7" s="24" t="n"/>
      <c r="I7" s="24" t="n"/>
      <c r="J7" s="27" t="n"/>
      <c r="K7" s="5" t="inlineStr">
        <is>
          <t>完了</t>
        </is>
      </c>
    </row>
    <row r="8">
      <c r="B8" s="18" t="inlineStr">
        <is>
          <t>開催日</t>
        </is>
      </c>
      <c r="C8" s="28" t="n">
        <v>46321</v>
      </c>
      <c r="D8" s="24" t="n"/>
      <c r="E8" s="24" t="n"/>
      <c r="G8" s="5" t="inlineStr">
        <is>
          <t>告知ページ／LP公開</t>
        </is>
      </c>
      <c r="H8" s="24" t="n"/>
      <c r="I8" s="24" t="n"/>
      <c r="J8" s="27" t="n"/>
      <c r="K8" s="5" t="inlineStr">
        <is>
          <t>完了</t>
        </is>
      </c>
    </row>
    <row r="9">
      <c r="B9" s="18" t="inlineStr">
        <is>
          <t>開場</t>
        </is>
      </c>
      <c r="C9" s="29" t="n">
        <v>0.78125</v>
      </c>
      <c r="D9" s="24" t="n"/>
      <c r="E9" s="24" t="n"/>
      <c r="G9" s="5" t="inlineStr">
        <is>
          <t>Instagram告知投稿</t>
        </is>
      </c>
      <c r="H9" s="24" t="n"/>
      <c r="I9" s="24" t="n"/>
      <c r="J9" s="27" t="n"/>
      <c r="K9" s="5" t="inlineStr">
        <is>
          <t>完了</t>
        </is>
      </c>
    </row>
    <row r="10">
      <c r="B10" s="18" t="inlineStr">
        <is>
          <t>開始</t>
        </is>
      </c>
      <c r="C10" s="29" t="n">
        <v>0.7916666666666666</v>
      </c>
      <c r="D10" s="24" t="n"/>
      <c r="E10" s="24" t="n"/>
      <c r="G10" s="5" t="inlineStr">
        <is>
          <t>LINE告知（3週間前）</t>
        </is>
      </c>
      <c r="H10" s="24" t="n"/>
      <c r="I10" s="24" t="n"/>
      <c r="J10" s="27" t="n"/>
      <c r="K10" s="5" t="inlineStr">
        <is>
          <t>完了</t>
        </is>
      </c>
    </row>
    <row r="11">
      <c r="B11" s="18" t="inlineStr">
        <is>
          <t>終了</t>
        </is>
      </c>
      <c r="C11" s="29" t="n">
        <v>0.875</v>
      </c>
      <c r="D11" s="24" t="n"/>
      <c r="E11" s="24" t="n"/>
      <c r="G11" s="5" t="inlineStr">
        <is>
          <t>LINE告知（1週間前）</t>
        </is>
      </c>
      <c r="H11" s="24" t="n"/>
      <c r="I11" s="24" t="n"/>
      <c r="J11" s="27" t="n"/>
      <c r="K11" s="5" t="inlineStr">
        <is>
          <t>完了</t>
        </is>
      </c>
    </row>
    <row r="12">
      <c r="B12" s="18" t="inlineStr">
        <is>
          <t>会場</t>
        </is>
      </c>
      <c r="C12" s="5" t="inlineStr">
        <is>
          <t>六本木一丁目「経営者の部室」</t>
        </is>
      </c>
      <c r="D12" s="24" t="n"/>
      <c r="E12" s="24" t="n"/>
      <c r="G12" s="5" t="inlineStr">
        <is>
          <t>LINE告知（前日）</t>
        </is>
      </c>
      <c r="H12" s="24" t="n"/>
      <c r="I12" s="24" t="n"/>
      <c r="J12" s="27" t="n"/>
      <c r="K12" s="5" t="inlineStr">
        <is>
          <t>完了</t>
        </is>
      </c>
    </row>
    <row r="13">
      <c r="B13" s="18" t="inlineStr">
        <is>
          <t>定員（名）</t>
        </is>
      </c>
      <c r="C13" s="30" t="n">
        <v>30</v>
      </c>
      <c r="D13" s="24" t="n"/>
      <c r="E13" s="24" t="n"/>
      <c r="G13" s="5" t="inlineStr">
        <is>
          <t>広告入稿・審査通過</t>
        </is>
      </c>
      <c r="H13" s="24" t="n"/>
      <c r="I13" s="24" t="n"/>
      <c r="J13" s="27" t="n"/>
      <c r="K13" s="5" t="inlineStr">
        <is>
          <t>完了</t>
        </is>
      </c>
    </row>
    <row r="14">
      <c r="B14" s="18" t="inlineStr">
        <is>
          <t>会費・事前決済（円/税込）</t>
        </is>
      </c>
      <c r="C14" s="30" t="n">
        <v>7000</v>
      </c>
      <c r="D14" s="24" t="n"/>
      <c r="E14" s="24" t="n"/>
      <c r="G14" s="5" t="inlineStr">
        <is>
          <t>参加者へ前日リマインド</t>
        </is>
      </c>
      <c r="H14" s="24" t="n"/>
      <c r="I14" s="24" t="n"/>
      <c r="J14" s="27" t="n"/>
      <c r="K14" s="5" t="inlineStr">
        <is>
          <t>完了</t>
        </is>
      </c>
    </row>
    <row r="15">
      <c r="B15" s="18" t="inlineStr">
        <is>
          <t>会費・当日決済（円/税込）</t>
        </is>
      </c>
      <c r="C15" s="30" t="n">
        <v>7500</v>
      </c>
      <c r="D15" s="24" t="n"/>
      <c r="E15" s="24" t="n"/>
      <c r="G15" s="5" t="inlineStr">
        <is>
          <t>受付名簿・領収書の準備</t>
        </is>
      </c>
      <c r="H15" s="24" t="n"/>
      <c r="I15" s="24" t="n"/>
      <c r="J15" s="27" t="n"/>
      <c r="K15" s="5" t="inlineStr">
        <is>
          <t>完了</t>
        </is>
      </c>
    </row>
    <row r="16">
      <c r="B16" s="18" t="inlineStr">
        <is>
          <t>責任者（企画・最終判断）</t>
        </is>
      </c>
      <c r="C16" s="5" t="inlineStr">
        <is>
          <t>高橋</t>
        </is>
      </c>
      <c r="D16" s="24" t="n"/>
      <c r="E16" s="24" t="n"/>
      <c r="G16" s="5" t="inlineStr">
        <is>
          <t>写真掲載の同意確認方法を準備</t>
        </is>
      </c>
      <c r="H16" s="24" t="n"/>
      <c r="I16" s="24" t="n"/>
      <c r="J16" s="27" t="n"/>
      <c r="K16" s="5" t="inlineStr">
        <is>
          <t>対象外</t>
        </is>
      </c>
    </row>
    <row r="17">
      <c r="B17" s="18" t="inlineStr">
        <is>
          <t>運営担当</t>
        </is>
      </c>
      <c r="C17" s="5" t="inlineStr">
        <is>
          <t>秘書</t>
        </is>
      </c>
      <c r="D17" s="24" t="n"/>
      <c r="E17" s="24" t="n"/>
      <c r="G17" s="5" t="inlineStr">
        <is>
          <t>当日の流れ・台本の確定</t>
        </is>
      </c>
      <c r="H17" s="24" t="n"/>
      <c r="I17" s="24" t="n"/>
      <c r="J17" s="27" t="n"/>
      <c r="K17" s="5" t="inlineStr">
        <is>
          <t>完了</t>
        </is>
      </c>
    </row>
    <row r="18">
      <c r="B18" s="18" t="inlineStr">
        <is>
          <t>ステータス</t>
        </is>
      </c>
      <c r="C18" s="5" t="inlineStr">
        <is>
          <t>実施済</t>
        </is>
      </c>
      <c r="D18" s="24" t="n"/>
      <c r="E18" s="24" t="n"/>
    </row>
    <row r="19"/>
    <row r="20">
      <c r="A20" s="20" t="inlineStr">
        <is>
          <t>2. 計画 vs 実績（KPI）</t>
        </is>
      </c>
      <c r="B20" s="21" t="n"/>
      <c r="C20" s="21" t="n"/>
      <c r="D20" s="21" t="n"/>
      <c r="E20" s="21" t="n"/>
      <c r="F20" s="31" t="inlineStr">
        <is>
          <t>実施前に【計画】、実施後に【実績】。実績の多くは参加者リストから自動集計</t>
        </is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s="12" t="inlineStr"/>
      <c r="B21" s="12" t="inlineStr">
        <is>
          <t>項目</t>
        </is>
      </c>
      <c r="C21" s="12" t="inlineStr">
        <is>
          <t>計画（実施前）</t>
        </is>
      </c>
      <c r="D21" s="12" t="inlineStr">
        <is>
          <t>実績（実施後）</t>
        </is>
      </c>
      <c r="E21" s="12" t="inlineStr">
        <is>
          <t>差異</t>
        </is>
      </c>
      <c r="F21" s="12" t="inlineStr">
        <is>
          <t>達成率</t>
        </is>
      </c>
      <c r="G21" s="12" t="inlineStr">
        <is>
          <t>メモ</t>
        </is>
      </c>
      <c r="H21" s="25" t="n"/>
      <c r="I21" s="25" t="n"/>
      <c r="J21" s="25" t="n"/>
      <c r="K21" s="26" t="n"/>
    </row>
    <row r="22">
      <c r="B22" s="18" t="inlineStr">
        <is>
          <t>申込数（名）</t>
        </is>
      </c>
      <c r="C22" s="30" t="n">
        <v>32</v>
      </c>
      <c r="D22" s="15">
        <f>COUNTA($B$112:$B$151)</f>
        <v/>
      </c>
      <c r="E22" s="15">
        <f>IF(C22="","",D22-C22)</f>
        <v/>
      </c>
      <c r="F22" s="16">
        <f>IF(OR(C22="",C22=0),"",D22/C22)</f>
        <v/>
      </c>
      <c r="G22" s="5" t="n"/>
      <c r="H22" s="24" t="n"/>
      <c r="I22" s="24" t="n"/>
      <c r="J22" s="24" t="n"/>
      <c r="K22" s="24" t="n"/>
    </row>
    <row r="23">
      <c r="B23" s="18" t="inlineStr">
        <is>
          <t>参加者数（名）</t>
        </is>
      </c>
      <c r="C23" s="30" t="n">
        <v>28</v>
      </c>
      <c r="D23" s="15">
        <f>COUNTIF($L$112:$L$151,"参加")</f>
        <v/>
      </c>
      <c r="E23" s="15">
        <f>IF(C23="","",D23-C23)</f>
        <v/>
      </c>
      <c r="F23" s="16">
        <f>IF(OR(C23="",C23=0),"",D23/C23)</f>
        <v/>
      </c>
      <c r="G23" s="5" t="n"/>
      <c r="H23" s="24" t="n"/>
      <c r="I23" s="24" t="n"/>
      <c r="J23" s="24" t="n"/>
      <c r="K23" s="24" t="n"/>
    </row>
    <row r="24">
      <c r="B24" s="3" t="inlineStr">
        <is>
          <t xml:space="preserve">　うち男性</t>
        </is>
      </c>
      <c r="C24" s="30" t="n">
        <v>18</v>
      </c>
      <c r="D24" s="15">
        <f>COUNTIFS($L$112:$L$151,"参加",$D$112:$D$151,"男性")</f>
        <v/>
      </c>
      <c r="E24" s="15">
        <f>IF(C24="","",D24-C24)</f>
        <v/>
      </c>
      <c r="F24" s="16">
        <f>IF(OR(C24="",C24=0),"",D24/C24)</f>
        <v/>
      </c>
      <c r="G24" s="5" t="n"/>
      <c r="H24" s="24" t="n"/>
      <c r="I24" s="24" t="n"/>
      <c r="J24" s="24" t="n"/>
      <c r="K24" s="24" t="n"/>
    </row>
    <row r="25">
      <c r="B25" s="3" t="inlineStr">
        <is>
          <t xml:space="preserve">　うち女性</t>
        </is>
      </c>
      <c r="C25" s="30" t="n">
        <v>10</v>
      </c>
      <c r="D25" s="15">
        <f>COUNTIFS($L$112:$L$151,"参加",$D$112:$D$151,"女性")</f>
        <v/>
      </c>
      <c r="E25" s="15">
        <f>IF(C25="","",D25-C25)</f>
        <v/>
      </c>
      <c r="F25" s="16">
        <f>IF(OR(C25="",C25=0),"",D25/C25)</f>
        <v/>
      </c>
      <c r="G25" s="5" t="n"/>
      <c r="H25" s="24" t="n"/>
      <c r="I25" s="24" t="n"/>
      <c r="J25" s="24" t="n"/>
      <c r="K25" s="24" t="n"/>
    </row>
    <row r="26">
      <c r="B26" s="3" t="inlineStr">
        <is>
          <t xml:space="preserve">　うち新規</t>
        </is>
      </c>
      <c r="C26" s="30" t="n">
        <v>16</v>
      </c>
      <c r="D26" s="15">
        <f>COUNTIFS($L$112:$L$151,"参加",$H$112:$H$151,"新規")</f>
        <v/>
      </c>
      <c r="E26" s="15">
        <f>IF(C26="","",D26-C26)</f>
        <v/>
      </c>
      <c r="F26" s="16">
        <f>IF(OR(C26="",C26=0),"",D26/C26)</f>
        <v/>
      </c>
      <c r="G26" s="5" t="n"/>
      <c r="H26" s="24" t="n"/>
      <c r="I26" s="24" t="n"/>
      <c r="J26" s="24" t="n"/>
      <c r="K26" s="24" t="n"/>
    </row>
    <row r="27">
      <c r="B27" s="3" t="inlineStr">
        <is>
          <t xml:space="preserve">　うちリピーター</t>
        </is>
      </c>
      <c r="C27" s="30" t="n">
        <v>12</v>
      </c>
      <c r="D27" s="15">
        <f>COUNTIFS($L$112:$L$151,"参加",$H$112:$H$151,"リピーター")</f>
        <v/>
      </c>
      <c r="E27" s="15">
        <f>IF(C27="","",D27-C27)</f>
        <v/>
      </c>
      <c r="F27" s="16">
        <f>IF(OR(C27="",C27=0),"",D27/C27)</f>
        <v/>
      </c>
      <c r="G27" s="5" t="n"/>
      <c r="H27" s="24" t="n"/>
      <c r="I27" s="24" t="n"/>
      <c r="J27" s="24" t="n"/>
      <c r="K27" s="24" t="n"/>
    </row>
    <row r="28">
      <c r="B28" s="18" t="inlineStr">
        <is>
          <t>キャンセル数</t>
        </is>
      </c>
      <c r="C28" s="30" t="n"/>
      <c r="D28" s="15">
        <f>COUNTIF($L$112:$L$151,"キャンセル")</f>
        <v/>
      </c>
      <c r="E28" s="15">
        <f>IF(C28="","",D28-C28)</f>
        <v/>
      </c>
      <c r="F28" s="16">
        <f>IF(OR(C28="",C28=0),"",D28/C28)</f>
        <v/>
      </c>
      <c r="G28" s="5" t="n"/>
      <c r="H28" s="24" t="n"/>
      <c r="I28" s="24" t="n"/>
      <c r="J28" s="24" t="n"/>
      <c r="K28" s="24" t="n"/>
    </row>
    <row r="29">
      <c r="B29" s="18" t="inlineStr">
        <is>
          <t>無断欠席数</t>
        </is>
      </c>
      <c r="C29" s="30" t="n"/>
      <c r="D29" s="15">
        <f>COUNTIF($L$112:$L$151,"無断欠席")</f>
        <v/>
      </c>
      <c r="E29" s="15">
        <f>IF(C29="","",D29-C29)</f>
        <v/>
      </c>
      <c r="F29" s="16">
        <f>IF(OR(C29="",C29=0),"",D29/C29)</f>
        <v/>
      </c>
      <c r="G29" s="5" t="n"/>
      <c r="H29" s="24" t="n"/>
      <c r="I29" s="24" t="n"/>
      <c r="J29" s="24" t="n"/>
      <c r="K29" s="24" t="n"/>
    </row>
    <row r="30">
      <c r="B30" s="18" t="inlineStr">
        <is>
          <t>充足率（参加者÷定員）</t>
        </is>
      </c>
      <c r="C30" s="16">
        <f>IFERROR(C23/C13,0)</f>
        <v/>
      </c>
      <c r="D30" s="16">
        <f>IFERROR(D23/C13,0)</f>
        <v/>
      </c>
      <c r="E30" s="16">
        <f>IF(C30="","",D30-C30)</f>
        <v/>
      </c>
      <c r="F30" s="6">
        <f>""</f>
        <v/>
      </c>
      <c r="G30" s="5" t="n"/>
      <c r="H30" s="24" t="n"/>
      <c r="I30" s="24" t="n"/>
      <c r="J30" s="24" t="n"/>
      <c r="K30" s="24" t="n"/>
    </row>
    <row r="31">
      <c r="B31" s="18" t="inlineStr">
        <is>
          <t>LINE友だち追加数（告知期間）</t>
        </is>
      </c>
      <c r="C31" s="30" t="n">
        <v>25</v>
      </c>
      <c r="D31" s="30" t="n">
        <v>22</v>
      </c>
      <c r="E31" s="15">
        <f>IF(C31="","",D31-C31)</f>
        <v/>
      </c>
      <c r="F31" s="16">
        <f>IF(OR(C31="",C31=0),"",D31/C31)</f>
        <v/>
      </c>
      <c r="G31" s="5" t="n"/>
      <c r="H31" s="24" t="n"/>
      <c r="I31" s="24" t="n"/>
      <c r="J31" s="24" t="n"/>
      <c r="K31" s="24" t="n"/>
    </row>
    <row r="32">
      <c r="B32" s="18" t="inlineStr">
        <is>
          <t>満足度 平均（5段階）</t>
        </is>
      </c>
      <c r="C32" s="32" t="n">
        <v>4.5</v>
      </c>
      <c r="D32" s="17">
        <f>IFERROR(AVERAGEIFS($Q$112:$Q$151,$L$112:$L$151,"参加",$Q$112:$Q$151,"&gt;0"),0)</f>
        <v/>
      </c>
      <c r="E32" s="17">
        <f>IF(C32="","",D32-C32)</f>
        <v/>
      </c>
      <c r="F32" s="6">
        <f>""</f>
        <v/>
      </c>
      <c r="G32" s="5" t="n"/>
      <c r="H32" s="24" t="n"/>
      <c r="I32" s="24" t="n"/>
      <c r="J32" s="24" t="n"/>
      <c r="K32" s="24" t="n"/>
    </row>
    <row r="33">
      <c r="B33" s="18" t="inlineStr">
        <is>
          <t>次回参加意向「あり」率</t>
        </is>
      </c>
      <c r="C33" s="33" t="n">
        <v>0.6</v>
      </c>
      <c r="D33" s="16">
        <f>IFERROR(COUNTIFS($L$112:$L$151,"参加",$R$112:$R$151,"あり")/COUNTIF($L$112:$L$151,"参加"),0)</f>
        <v/>
      </c>
      <c r="E33" s="16">
        <f>IF(C33="","",D33-C33)</f>
        <v/>
      </c>
      <c r="F33" s="6">
        <f>""</f>
        <v/>
      </c>
      <c r="G33" s="5" t="n"/>
      <c r="H33" s="24" t="n"/>
      <c r="I33" s="24" t="n"/>
      <c r="J33" s="24" t="n"/>
      <c r="K33" s="24" t="n"/>
    </row>
    <row r="34">
      <c r="B34" s="18" t="inlineStr">
        <is>
          <t>写真掲載 同意数</t>
        </is>
      </c>
      <c r="C34" s="30" t="n">
        <v>20</v>
      </c>
      <c r="D34" s="15">
        <f>COUNTIFS($L$112:$L$151,"参加",$P$112:$P$151,"同意")</f>
        <v/>
      </c>
      <c r="E34" s="15">
        <f>IF(C34="","",D34-C34)</f>
        <v/>
      </c>
      <c r="F34" s="16">
        <f>IF(OR(C34="",C34=0),"",D34/C34)</f>
        <v/>
      </c>
      <c r="G34" s="5" t="n"/>
      <c r="H34" s="24" t="n"/>
      <c r="I34" s="24" t="n"/>
      <c r="J34" s="24" t="n"/>
      <c r="K34" s="24" t="n"/>
    </row>
    <row r="35">
      <c r="B35" s="18" t="inlineStr">
        <is>
          <t>参加者1名あたり粗利（円）</t>
        </is>
      </c>
      <c r="C35" s="15">
        <f>IFERROR(C65/C23,0)</f>
        <v/>
      </c>
      <c r="D35" s="15">
        <f>IFERROR(D65/D23,0)</f>
        <v/>
      </c>
      <c r="E35" s="15">
        <f>IF(C35="","",D35-C35)</f>
        <v/>
      </c>
      <c r="F35" s="16">
        <f>IF(OR(C35="",C35=0),"",D35/C35)</f>
        <v/>
      </c>
      <c r="G35" s="5" t="n"/>
      <c r="H35" s="24" t="n"/>
      <c r="I35" s="24" t="n"/>
      <c r="J35" s="24" t="n"/>
      <c r="K35" s="24" t="n"/>
    </row>
    <row r="36"/>
    <row r="37">
      <c r="A37" s="20" t="inlineStr">
        <is>
          <t>3. 集客チャネル別（知ったきっかけ）</t>
        </is>
      </c>
      <c r="B37" s="21" t="n"/>
      <c r="C37" s="21" t="n"/>
      <c r="D37" s="21" t="n"/>
      <c r="E37" s="21" t="n"/>
      <c r="F37" s="31" t="inlineStr">
        <is>
          <t>受付で全員に「どこで知りましたか」を聞く（運用マニュアル9-3）</t>
        </is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</row>
    <row r="38">
      <c r="A38" s="12" t="inlineStr"/>
      <c r="B38" s="12" t="inlineStr">
        <is>
          <t>チャネル</t>
        </is>
      </c>
      <c r="C38" s="12" t="inlineStr">
        <is>
          <t>計画（名）</t>
        </is>
      </c>
      <c r="D38" s="12" t="inlineStr">
        <is>
          <t>申込（名）</t>
        </is>
      </c>
      <c r="E38" s="12" t="inlineStr">
        <is>
          <t>参加（名）</t>
        </is>
      </c>
      <c r="F38" s="12" t="inlineStr">
        <is>
          <t>男性（参加）</t>
        </is>
      </c>
      <c r="G38" s="12" t="inlineStr">
        <is>
          <t>女性（参加）</t>
        </is>
      </c>
      <c r="H38" s="12" t="inlineStr">
        <is>
          <t>構成比（参加）</t>
        </is>
      </c>
      <c r="I38" s="12" t="inlineStr">
        <is>
          <t>メモ</t>
        </is>
      </c>
      <c r="J38" s="25" t="n"/>
      <c r="K38" s="26" t="n"/>
    </row>
    <row r="39">
      <c r="B39" s="3" t="inlineStr">
        <is>
          <t>Instagram</t>
        </is>
      </c>
      <c r="C39" s="30" t="n">
        <v>8</v>
      </c>
      <c r="D39" s="15">
        <f>COUNTIF($I$112:$I$151,B39)</f>
        <v/>
      </c>
      <c r="E39" s="15">
        <f>COUNTIFS($L$112:$L$151,"参加",$I$112:$I$151,B39)</f>
        <v/>
      </c>
      <c r="F39" s="15">
        <f>COUNTIFS($L$112:$L$151,"参加",$I$112:$I$151,B39,$D$112:$D$151,"男性")</f>
        <v/>
      </c>
      <c r="G39" s="15">
        <f>COUNTIFS($L$112:$L$151,"参加",$I$112:$I$151,B39,$D$112:$D$151,"女性")</f>
        <v/>
      </c>
      <c r="H39" s="16">
        <f>IFERROR(E39/E$48,0)</f>
        <v/>
      </c>
      <c r="I39" s="5" t="n"/>
      <c r="J39" s="24" t="n"/>
      <c r="K39" s="24" t="n"/>
    </row>
    <row r="40">
      <c r="B40" s="3" t="inlineStr">
        <is>
          <t>Meta広告</t>
        </is>
      </c>
      <c r="C40" s="30" t="n"/>
      <c r="D40" s="15">
        <f>COUNTIF($I$112:$I$151,B40)</f>
        <v/>
      </c>
      <c r="E40" s="15">
        <f>COUNTIFS($L$112:$L$151,"参加",$I$112:$I$151,B40)</f>
        <v/>
      </c>
      <c r="F40" s="15">
        <f>COUNTIFS($L$112:$L$151,"参加",$I$112:$I$151,B40,$D$112:$D$151,"男性")</f>
        <v/>
      </c>
      <c r="G40" s="15">
        <f>COUNTIFS($L$112:$L$151,"参加",$I$112:$I$151,B40,$D$112:$D$151,"女性")</f>
        <v/>
      </c>
      <c r="H40" s="16">
        <f>IFERROR(E40/E$48,0)</f>
        <v/>
      </c>
      <c r="I40" s="5" t="n"/>
      <c r="J40" s="24" t="n"/>
      <c r="K40" s="24" t="n"/>
    </row>
    <row r="41">
      <c r="B41" s="3" t="inlineStr">
        <is>
          <t>LINE</t>
        </is>
      </c>
      <c r="C41" s="30" t="n">
        <v>6</v>
      </c>
      <c r="D41" s="15">
        <f>COUNTIF($I$112:$I$151,B41)</f>
        <v/>
      </c>
      <c r="E41" s="15">
        <f>COUNTIFS($L$112:$L$151,"参加",$I$112:$I$151,B41)</f>
        <v/>
      </c>
      <c r="F41" s="15">
        <f>COUNTIFS($L$112:$L$151,"参加",$I$112:$I$151,B41,$D$112:$D$151,"男性")</f>
        <v/>
      </c>
      <c r="G41" s="15">
        <f>COUNTIFS($L$112:$L$151,"参加",$I$112:$I$151,B41,$D$112:$D$151,"女性")</f>
        <v/>
      </c>
      <c r="H41" s="16">
        <f>IFERROR(E41/E$48,0)</f>
        <v/>
      </c>
      <c r="I41" s="5" t="n"/>
      <c r="J41" s="24" t="n"/>
      <c r="K41" s="24" t="n"/>
    </row>
    <row r="42">
      <c r="B42" s="3" t="inlineStr">
        <is>
          <t>知人・紹介</t>
        </is>
      </c>
      <c r="C42" s="30" t="n">
        <v>10</v>
      </c>
      <c r="D42" s="15">
        <f>COUNTIF($I$112:$I$151,B42)</f>
        <v/>
      </c>
      <c r="E42" s="15">
        <f>COUNTIFS($L$112:$L$151,"参加",$I$112:$I$151,B42)</f>
        <v/>
      </c>
      <c r="F42" s="15">
        <f>COUNTIFS($L$112:$L$151,"参加",$I$112:$I$151,B42,$D$112:$D$151,"男性")</f>
        <v/>
      </c>
      <c r="G42" s="15">
        <f>COUNTIFS($L$112:$L$151,"参加",$I$112:$I$151,B42,$D$112:$D$151,"女性")</f>
        <v/>
      </c>
      <c r="H42" s="16">
        <f>IFERROR(E42/E$48,0)</f>
        <v/>
      </c>
      <c r="I42" s="5" t="n"/>
      <c r="J42" s="24" t="n"/>
      <c r="K42" s="24" t="n"/>
    </row>
    <row r="43">
      <c r="B43" s="3" t="inlineStr">
        <is>
          <t>以前参加</t>
        </is>
      </c>
      <c r="C43" s="30" t="n">
        <v>4</v>
      </c>
      <c r="D43" s="15">
        <f>COUNTIF($I$112:$I$151,B43)</f>
        <v/>
      </c>
      <c r="E43" s="15">
        <f>COUNTIFS($L$112:$L$151,"参加",$I$112:$I$151,B43)</f>
        <v/>
      </c>
      <c r="F43" s="15">
        <f>COUNTIFS($L$112:$L$151,"参加",$I$112:$I$151,B43,$D$112:$D$151,"男性")</f>
        <v/>
      </c>
      <c r="G43" s="15">
        <f>COUNTIFS($L$112:$L$151,"参加",$I$112:$I$151,B43,$D$112:$D$151,"女性")</f>
        <v/>
      </c>
      <c r="H43" s="16">
        <f>IFERROR(E43/E$48,0)</f>
        <v/>
      </c>
      <c r="I43" s="5" t="n"/>
      <c r="J43" s="24" t="n"/>
      <c r="K43" s="24" t="n"/>
    </row>
    <row r="44">
      <c r="B44" s="3" t="inlineStr">
        <is>
          <t>イベントサイト</t>
        </is>
      </c>
      <c r="C44" s="30" t="n"/>
      <c r="D44" s="15">
        <f>COUNTIF($I$112:$I$151,B44)</f>
        <v/>
      </c>
      <c r="E44" s="15">
        <f>COUNTIFS($L$112:$L$151,"参加",$I$112:$I$151,B44)</f>
        <v/>
      </c>
      <c r="F44" s="15">
        <f>COUNTIFS($L$112:$L$151,"参加",$I$112:$I$151,B44,$D$112:$D$151,"男性")</f>
        <v/>
      </c>
      <c r="G44" s="15">
        <f>COUNTIFS($L$112:$L$151,"参加",$I$112:$I$151,B44,$D$112:$D$151,"女性")</f>
        <v/>
      </c>
      <c r="H44" s="16">
        <f>IFERROR(E44/E$48,0)</f>
        <v/>
      </c>
      <c r="I44" s="5" t="n"/>
      <c r="J44" s="24" t="n"/>
      <c r="K44" s="24" t="n"/>
    </row>
    <row r="45">
      <c r="B45" s="3" t="inlineStr">
        <is>
          <t>メールマガジン</t>
        </is>
      </c>
      <c r="C45" s="30" t="n"/>
      <c r="D45" s="15">
        <f>COUNTIF($I$112:$I$151,B45)</f>
        <v/>
      </c>
      <c r="E45" s="15">
        <f>COUNTIFS($L$112:$L$151,"参加",$I$112:$I$151,B45)</f>
        <v/>
      </c>
      <c r="F45" s="15">
        <f>COUNTIFS($L$112:$L$151,"参加",$I$112:$I$151,B45,$D$112:$D$151,"男性")</f>
        <v/>
      </c>
      <c r="G45" s="15">
        <f>COUNTIFS($L$112:$L$151,"参加",$I$112:$I$151,B45,$D$112:$D$151,"女性")</f>
        <v/>
      </c>
      <c r="H45" s="16">
        <f>IFERROR(E45/E$48,0)</f>
        <v/>
      </c>
      <c r="I45" s="5" t="n"/>
      <c r="J45" s="24" t="n"/>
      <c r="K45" s="24" t="n"/>
    </row>
    <row r="46">
      <c r="B46" s="3" t="inlineStr">
        <is>
          <t>検索</t>
        </is>
      </c>
      <c r="C46" s="30" t="n"/>
      <c r="D46" s="15">
        <f>COUNTIF($I$112:$I$151,B46)</f>
        <v/>
      </c>
      <c r="E46" s="15">
        <f>COUNTIFS($L$112:$L$151,"参加",$I$112:$I$151,B46)</f>
        <v/>
      </c>
      <c r="F46" s="15">
        <f>COUNTIFS($L$112:$L$151,"参加",$I$112:$I$151,B46,$D$112:$D$151,"男性")</f>
        <v/>
      </c>
      <c r="G46" s="15">
        <f>COUNTIFS($L$112:$L$151,"参加",$I$112:$I$151,B46,$D$112:$D$151,"女性")</f>
        <v/>
      </c>
      <c r="H46" s="16">
        <f>IFERROR(E46/E$48,0)</f>
        <v/>
      </c>
      <c r="I46" s="5" t="n"/>
      <c r="J46" s="24" t="n"/>
      <c r="K46" s="24" t="n"/>
    </row>
    <row r="47">
      <c r="B47" s="3" t="inlineStr">
        <is>
          <t>その他</t>
        </is>
      </c>
      <c r="C47" s="30" t="n"/>
      <c r="D47" s="15">
        <f>COUNTIF($I$112:$I$151,B47)</f>
        <v/>
      </c>
      <c r="E47" s="15">
        <f>COUNTIFS($L$112:$L$151,"参加",$I$112:$I$151,B47)</f>
        <v/>
      </c>
      <c r="F47" s="15">
        <f>COUNTIFS($L$112:$L$151,"参加",$I$112:$I$151,B47,$D$112:$D$151,"男性")</f>
        <v/>
      </c>
      <c r="G47" s="15">
        <f>COUNTIFS($L$112:$L$151,"参加",$I$112:$I$151,B47,$D$112:$D$151,"女性")</f>
        <v/>
      </c>
      <c r="H47" s="16">
        <f>IFERROR(E47/E$48,0)</f>
        <v/>
      </c>
      <c r="I47" s="5" t="n"/>
      <c r="J47" s="24" t="n"/>
      <c r="K47" s="24" t="n"/>
    </row>
    <row r="48">
      <c r="B48" s="18" t="inlineStr">
        <is>
          <t>合計</t>
        </is>
      </c>
      <c r="C48" s="19">
        <f>SUM(C39:C47)</f>
        <v/>
      </c>
      <c r="D48" s="19">
        <f>SUM(D39:D47)</f>
        <v/>
      </c>
      <c r="E48" s="19">
        <f>SUM(E39:E47)</f>
        <v/>
      </c>
      <c r="F48" s="19">
        <f>SUM(F39:F47)</f>
        <v/>
      </c>
      <c r="G48" s="19">
        <f>SUM(G39:G47)</f>
        <v/>
      </c>
      <c r="H48" s="16">
        <f>SUM(H39:H47)</f>
        <v/>
      </c>
      <c r="I48" s="6">
        <f>IF(D48&lt;&gt;D22,"※きっかけ未入力の申込者あり","")</f>
        <v/>
      </c>
      <c r="J48" s="25" t="n"/>
      <c r="K48" s="26" t="n"/>
    </row>
    <row r="49"/>
    <row r="50">
      <c r="A50" s="20" t="inlineStr">
        <is>
          <t>4. 収支（円・税込）</t>
        </is>
      </c>
      <c r="B50" s="21" t="n"/>
      <c r="C50" s="21" t="n"/>
      <c r="D50" s="21" t="n"/>
      <c r="E50" s="21" t="n"/>
      <c r="F50" s="31" t="inlineStr">
        <is>
          <t>計画は実施前の見込み。実績の会費・物販・ワイン仕入・広告費は自動集計</t>
        </is>
      </c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</row>
    <row r="51">
      <c r="A51" s="12" t="inlineStr"/>
      <c r="B51" s="12" t="inlineStr">
        <is>
          <t>項目</t>
        </is>
      </c>
      <c r="C51" s="12" t="inlineStr">
        <is>
          <t>計画（実施前）</t>
        </is>
      </c>
      <c r="D51" s="12" t="inlineStr">
        <is>
          <t>実績（実施後）</t>
        </is>
      </c>
      <c r="E51" s="12" t="inlineStr">
        <is>
          <t>差異</t>
        </is>
      </c>
      <c r="F51" s="12" t="inlineStr"/>
      <c r="G51" s="12" t="inlineStr">
        <is>
          <t>メモ</t>
        </is>
      </c>
      <c r="H51" s="25" t="n"/>
      <c r="I51" s="25" t="n"/>
      <c r="J51" s="25" t="n"/>
      <c r="K51" s="26" t="n"/>
    </row>
    <row r="52">
      <c r="B52" s="3" t="inlineStr">
        <is>
          <t>売上：会費収入</t>
        </is>
      </c>
      <c r="C52" s="15">
        <f>C23*C14</f>
        <v/>
      </c>
      <c r="D52" s="15">
        <f>SUM($M$112:$M$151)</f>
        <v/>
      </c>
      <c r="E52" s="15">
        <f>D52-C52</f>
        <v/>
      </c>
      <c r="F52" s="9" t="n"/>
      <c r="G52" s="5" t="n"/>
      <c r="H52" s="24" t="n"/>
      <c r="I52" s="24" t="n"/>
      <c r="J52" s="24" t="n"/>
      <c r="K52" s="24" t="n"/>
    </row>
    <row r="53">
      <c r="B53" s="3" t="inlineStr">
        <is>
          <t>売上：ワイン物販</t>
        </is>
      </c>
      <c r="C53" s="30" t="n">
        <v>20000</v>
      </c>
      <c r="D53" s="15">
        <f>SUM($O$112:$O$151)</f>
        <v/>
      </c>
      <c r="E53" s="15">
        <f>D53-C53</f>
        <v/>
      </c>
      <c r="F53" s="9" t="n"/>
      <c r="G53" s="5" t="n"/>
      <c r="H53" s="24" t="n"/>
      <c r="I53" s="24" t="n"/>
      <c r="J53" s="24" t="n"/>
      <c r="K53" s="24" t="n"/>
    </row>
    <row r="54">
      <c r="B54" s="3" t="inlineStr">
        <is>
          <t>売上：その他</t>
        </is>
      </c>
      <c r="C54" s="30" t="n"/>
      <c r="D54" s="30" t="n"/>
      <c r="E54" s="15">
        <f>D54-C54</f>
        <v/>
      </c>
      <c r="F54" s="9" t="n"/>
      <c r="G54" s="5" t="n"/>
      <c r="H54" s="24" t="n"/>
      <c r="I54" s="24" t="n"/>
      <c r="J54" s="24" t="n"/>
      <c r="K54" s="24" t="n"/>
    </row>
    <row r="55">
      <c r="B55" s="18" t="inlineStr">
        <is>
          <t>売上 合計</t>
        </is>
      </c>
      <c r="C55" s="19">
        <f>SUM(C52:C54)</f>
        <v/>
      </c>
      <c r="D55" s="19">
        <f>SUM(D52:D54)</f>
        <v/>
      </c>
      <c r="E55" s="15">
        <f>D55-C55</f>
        <v/>
      </c>
      <c r="F55" s="9" t="n"/>
      <c r="G55" s="5" t="n"/>
      <c r="H55" s="24" t="n"/>
      <c r="I55" s="24" t="n"/>
      <c r="J55" s="24" t="n"/>
      <c r="K55" s="24" t="n"/>
    </row>
    <row r="56">
      <c r="B56" s="3" t="inlineStr">
        <is>
          <t>費用：ワイン仕入</t>
        </is>
      </c>
      <c r="C56" s="30" t="n">
        <v>45000</v>
      </c>
      <c r="D56" s="15">
        <f>I89</f>
        <v/>
      </c>
      <c r="E56" s="15">
        <f>D56-C56</f>
        <v/>
      </c>
      <c r="F56" s="9" t="n"/>
      <c r="G56" s="5" t="n"/>
      <c r="H56" s="24" t="n"/>
      <c r="I56" s="24" t="n"/>
      <c r="J56" s="24" t="n"/>
      <c r="K56" s="24" t="n"/>
    </row>
    <row r="57">
      <c r="B57" s="3" t="inlineStr">
        <is>
          <t>費用：おつまみ・フード</t>
        </is>
      </c>
      <c r="C57" s="30" t="n">
        <v>30000</v>
      </c>
      <c r="D57" s="30" t="n"/>
      <c r="E57" s="15">
        <f>D57-C57</f>
        <v/>
      </c>
      <c r="F57" s="9" t="n"/>
      <c r="G57" s="5" t="n"/>
      <c r="H57" s="24" t="n"/>
      <c r="I57" s="24" t="n"/>
      <c r="J57" s="24" t="n"/>
      <c r="K57" s="24" t="n"/>
    </row>
    <row r="58">
      <c r="B58" s="3" t="inlineStr">
        <is>
          <t>費用：会場費</t>
        </is>
      </c>
      <c r="C58" s="30" t="n">
        <v>30000</v>
      </c>
      <c r="D58" s="30" t="n"/>
      <c r="E58" s="15">
        <f>D58-C58</f>
        <v/>
      </c>
      <c r="F58" s="9" t="n"/>
      <c r="G58" s="5" t="n"/>
      <c r="H58" s="24" t="n"/>
      <c r="I58" s="24" t="n"/>
      <c r="J58" s="24" t="n"/>
      <c r="K58" s="24" t="n"/>
    </row>
    <row r="59">
      <c r="B59" s="3" t="inlineStr">
        <is>
          <t>費用：広告費</t>
        </is>
      </c>
      <c r="C59" s="30" t="n">
        <v>0</v>
      </c>
      <c r="D59" s="15">
        <f>E75</f>
        <v/>
      </c>
      <c r="E59" s="15">
        <f>D59-C59</f>
        <v/>
      </c>
      <c r="F59" s="9" t="n"/>
      <c r="G59" s="5" t="n"/>
      <c r="H59" s="24" t="n"/>
      <c r="I59" s="24" t="n"/>
      <c r="J59" s="24" t="n"/>
      <c r="K59" s="24" t="n"/>
    </row>
    <row r="60">
      <c r="B60" s="3" t="inlineStr">
        <is>
          <t>費用：決済手数料</t>
        </is>
      </c>
      <c r="C60" s="30" t="n">
        <v>3000</v>
      </c>
      <c r="D60" s="30" t="n"/>
      <c r="E60" s="15">
        <f>D60-C60</f>
        <v/>
      </c>
      <c r="F60" s="9" t="n"/>
      <c r="G60" s="5" t="n"/>
      <c r="H60" s="24" t="n"/>
      <c r="I60" s="24" t="n"/>
      <c r="J60" s="24" t="n"/>
      <c r="K60" s="24" t="n"/>
    </row>
    <row r="61">
      <c r="B61" s="3" t="inlineStr">
        <is>
          <t>費用：人件費・謝礼</t>
        </is>
      </c>
      <c r="C61" s="30" t="n"/>
      <c r="D61" s="30" t="n"/>
      <c r="E61" s="15">
        <f>D61-C61</f>
        <v/>
      </c>
      <c r="F61" s="9" t="n"/>
      <c r="G61" s="5" t="n"/>
      <c r="H61" s="24" t="n"/>
      <c r="I61" s="24" t="n"/>
      <c r="J61" s="24" t="n"/>
      <c r="K61" s="24" t="n"/>
    </row>
    <row r="62">
      <c r="B62" s="3" t="inlineStr">
        <is>
          <t>費用：備品・印刷・消耗品</t>
        </is>
      </c>
      <c r="C62" s="30" t="n"/>
      <c r="D62" s="30" t="n"/>
      <c r="E62" s="15">
        <f>D62-C62</f>
        <v/>
      </c>
      <c r="F62" s="9" t="n"/>
      <c r="G62" s="5" t="n"/>
      <c r="H62" s="24" t="n"/>
      <c r="I62" s="24" t="n"/>
      <c r="J62" s="24" t="n"/>
      <c r="K62" s="24" t="n"/>
    </row>
    <row r="63">
      <c r="B63" s="3" t="inlineStr">
        <is>
          <t>費用：その他</t>
        </is>
      </c>
      <c r="C63" s="30" t="n"/>
      <c r="D63" s="30" t="n"/>
      <c r="E63" s="15">
        <f>D63-C63</f>
        <v/>
      </c>
      <c r="F63" s="9" t="n"/>
      <c r="G63" s="5" t="n"/>
      <c r="H63" s="24" t="n"/>
      <c r="I63" s="24" t="n"/>
      <c r="J63" s="24" t="n"/>
      <c r="K63" s="24" t="n"/>
    </row>
    <row r="64">
      <c r="B64" s="18" t="inlineStr">
        <is>
          <t>費用 合計</t>
        </is>
      </c>
      <c r="C64" s="19">
        <f>SUM(C56:C63)</f>
        <v/>
      </c>
      <c r="D64" s="19">
        <f>SUM(D56:D63)</f>
        <v/>
      </c>
      <c r="E64" s="15">
        <f>D64-C64</f>
        <v/>
      </c>
      <c r="F64" s="9" t="n"/>
      <c r="G64" s="5" t="n"/>
      <c r="H64" s="24" t="n"/>
      <c r="I64" s="24" t="n"/>
      <c r="J64" s="24" t="n"/>
      <c r="K64" s="24" t="n"/>
    </row>
    <row r="65">
      <c r="B65" s="18" t="inlineStr">
        <is>
          <t>粗利（売上−費用）</t>
        </is>
      </c>
      <c r="C65" s="19">
        <f>C55-C64</f>
        <v/>
      </c>
      <c r="D65" s="19">
        <f>D55-D64</f>
        <v/>
      </c>
      <c r="E65" s="15">
        <f>D65-C65</f>
        <v/>
      </c>
      <c r="F65" s="9" t="n"/>
      <c r="G65" s="5" t="n"/>
      <c r="H65" s="24" t="n"/>
      <c r="I65" s="24" t="n"/>
      <c r="J65" s="24" t="n"/>
      <c r="K65" s="24" t="n"/>
    </row>
    <row r="66">
      <c r="B66" s="18" t="inlineStr">
        <is>
          <t>粗利率</t>
        </is>
      </c>
      <c r="C66" s="16">
        <f>IFERROR(C65/C55,0)</f>
        <v/>
      </c>
      <c r="D66" s="16">
        <f>IFERROR(D65/D55,0)</f>
        <v/>
      </c>
      <c r="E66" s="6">
        <f>""</f>
        <v/>
      </c>
      <c r="F66" s="9" t="n"/>
      <c r="G66" s="5" t="n"/>
      <c r="H66" s="24" t="n"/>
      <c r="I66" s="24" t="n"/>
      <c r="J66" s="24" t="n"/>
      <c r="K66" s="24" t="n"/>
    </row>
    <row r="67">
      <c r="B67" s="18" t="inlineStr">
        <is>
          <t>広告CPA（広告費÷広告経由参加者）</t>
        </is>
      </c>
      <c r="C67" s="30" t="n"/>
      <c r="D67" s="15">
        <f>IFERROR(D59/E40,0)</f>
        <v/>
      </c>
      <c r="E67" s="15">
        <f>D67-C67</f>
        <v/>
      </c>
      <c r="F67" s="9" t="n"/>
      <c r="G67" s="5" t="n"/>
      <c r="H67" s="24" t="n"/>
      <c r="I67" s="24" t="n"/>
      <c r="J67" s="24" t="n"/>
      <c r="K67" s="24" t="n"/>
    </row>
    <row r="68"/>
    <row r="69">
      <c r="A69" s="20" t="inlineStr">
        <is>
          <t>5. 広告実績（Meta広告など）</t>
        </is>
      </c>
      <c r="B69" s="21" t="n"/>
      <c r="C69" s="21" t="n"/>
      <c r="D69" s="21" t="n"/>
      <c r="E69" s="21" t="n"/>
      <c r="F69" s="31" t="inlineStr">
        <is>
          <t>広告を出さない回は空欄のままでよい。記録の残し方はMeta広告ガイド9-5</t>
        </is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s="12" t="inlineStr"/>
      <c r="B70" s="12" t="inlineStr">
        <is>
          <t>広告セット</t>
        </is>
      </c>
      <c r="C70" s="12" t="inlineStr">
        <is>
          <t>配信期間</t>
        </is>
      </c>
      <c r="D70" s="12" t="inlineStr">
        <is>
          <t>予算（円）</t>
        </is>
      </c>
      <c r="E70" s="12" t="inlineStr">
        <is>
          <t>消化額（円）</t>
        </is>
      </c>
      <c r="F70" s="12" t="inlineStr">
        <is>
          <t>リード数</t>
        </is>
      </c>
      <c r="G70" s="12" t="inlineStr">
        <is>
          <t>CPL（円）</t>
        </is>
      </c>
      <c r="H70" s="12" t="inlineStr">
        <is>
          <t>広告経由参加</t>
        </is>
      </c>
      <c r="I70" s="12" t="inlineStr">
        <is>
          <t>CPA（円）</t>
        </is>
      </c>
      <c r="J70" s="12" t="inlineStr">
        <is>
          <t>メモ</t>
        </is>
      </c>
      <c r="K70" s="26" t="n"/>
    </row>
    <row r="71">
      <c r="B71" s="5" t="n"/>
      <c r="C71" s="5" t="n"/>
      <c r="D71" s="30" t="n"/>
      <c r="E71" s="30" t="n"/>
      <c r="F71" s="30" t="n"/>
      <c r="G71" s="15">
        <f>IFERROR(E71/F71,0)</f>
        <v/>
      </c>
      <c r="H71" s="30" t="n"/>
      <c r="I71" s="15">
        <f>IFERROR(E71/H71,0)</f>
        <v/>
      </c>
      <c r="J71" s="5" t="n"/>
      <c r="K71" s="24" t="n"/>
    </row>
    <row r="72">
      <c r="B72" s="5" t="n"/>
      <c r="C72" s="5" t="n"/>
      <c r="D72" s="30" t="n"/>
      <c r="E72" s="30" t="n"/>
      <c r="F72" s="30" t="n"/>
      <c r="G72" s="15">
        <f>IFERROR(E72/F72,0)</f>
        <v/>
      </c>
      <c r="H72" s="30" t="n"/>
      <c r="I72" s="15">
        <f>IFERROR(E72/H72,0)</f>
        <v/>
      </c>
      <c r="J72" s="5" t="n"/>
      <c r="K72" s="24" t="n"/>
    </row>
    <row r="73">
      <c r="B73" s="5" t="n"/>
      <c r="C73" s="5" t="n"/>
      <c r="D73" s="30" t="n"/>
      <c r="E73" s="30" t="n"/>
      <c r="F73" s="30" t="n"/>
      <c r="G73" s="15">
        <f>IFERROR(E73/F73,0)</f>
        <v/>
      </c>
      <c r="H73" s="30" t="n"/>
      <c r="I73" s="15">
        <f>IFERROR(E73/H73,0)</f>
        <v/>
      </c>
      <c r="J73" s="5" t="n"/>
      <c r="K73" s="24" t="n"/>
    </row>
    <row r="74">
      <c r="B74" s="5" t="n"/>
      <c r="C74" s="5" t="n"/>
      <c r="D74" s="30" t="n"/>
      <c r="E74" s="30" t="n"/>
      <c r="F74" s="30" t="n"/>
      <c r="G74" s="15">
        <f>IFERROR(E74/F74,0)</f>
        <v/>
      </c>
      <c r="H74" s="30" t="n"/>
      <c r="I74" s="15">
        <f>IFERROR(E74/H74,0)</f>
        <v/>
      </c>
      <c r="J74" s="5" t="n"/>
      <c r="K74" s="24" t="n"/>
    </row>
    <row r="75">
      <c r="B75" s="18" t="inlineStr">
        <is>
          <t>合計</t>
        </is>
      </c>
      <c r="C75" s="6">
        <f>""</f>
        <v/>
      </c>
      <c r="D75" s="15">
        <f>SUM(D71:D74)</f>
        <v/>
      </c>
      <c r="E75" s="15">
        <f>SUM(E71:E74)</f>
        <v/>
      </c>
      <c r="F75" s="15">
        <f>SUM(F71:F74)</f>
        <v/>
      </c>
      <c r="G75" s="15">
        <f>IFERROR(E75/F75,0)</f>
        <v/>
      </c>
      <c r="H75" s="15">
        <f>SUM(H71:H74)</f>
        <v/>
      </c>
      <c r="I75" s="15">
        <f>IFERROR(E75/H75,0)</f>
        <v/>
      </c>
    </row>
    <row r="76"/>
    <row r="77">
      <c r="A77" s="20" t="inlineStr">
        <is>
          <t>6. 提供ワイン</t>
        </is>
      </c>
      <c r="B77" s="21" t="n"/>
      <c r="C77" s="21" t="n"/>
      <c r="D77" s="21" t="n"/>
      <c r="E77" s="21" t="n"/>
      <c r="F77" s="31" t="inlineStr">
        <is>
          <t>参加者の反応が良かった銘柄は次回・物販の判断材料にする</t>
        </is>
      </c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</row>
    <row r="78">
      <c r="A78" s="12" t="inlineStr">
        <is>
          <t>No</t>
        </is>
      </c>
      <c r="B78" s="12" t="inlineStr">
        <is>
          <t>銘柄</t>
        </is>
      </c>
      <c r="C78" s="12" t="inlineStr">
        <is>
          <t>生産者</t>
        </is>
      </c>
      <c r="D78" s="12" t="inlineStr">
        <is>
          <t>産地</t>
        </is>
      </c>
      <c r="E78" s="12" t="inlineStr">
        <is>
          <t>品種</t>
        </is>
      </c>
      <c r="F78" s="12" t="inlineStr">
        <is>
          <t>タイプ</t>
        </is>
      </c>
      <c r="G78" s="12" t="inlineStr">
        <is>
          <t>仕入単価（円）</t>
        </is>
      </c>
      <c r="H78" s="12" t="inlineStr">
        <is>
          <t>本数</t>
        </is>
      </c>
      <c r="I78" s="12" t="inlineStr">
        <is>
          <t>小計（円）</t>
        </is>
      </c>
      <c r="J78" s="12" t="inlineStr">
        <is>
          <t>反応・評価メモ</t>
        </is>
      </c>
      <c r="K78" s="26" t="n"/>
    </row>
    <row r="79">
      <c r="A79" s="34" t="n">
        <v>1</v>
      </c>
      <c r="B79" s="5" t="inlineStr">
        <is>
          <t>（例）フルミント</t>
        </is>
      </c>
      <c r="C79" s="5" t="inlineStr">
        <is>
          <t>（例）○○ワイナリー</t>
        </is>
      </c>
      <c r="D79" s="5" t="inlineStr">
        <is>
          <t>Tokaj</t>
        </is>
      </c>
      <c r="E79" s="5" t="inlineStr">
        <is>
          <t>フルミント</t>
        </is>
      </c>
      <c r="F79" s="5" t="inlineStr">
        <is>
          <t>白</t>
        </is>
      </c>
      <c r="G79" s="30" t="n"/>
      <c r="H79" s="30" t="n"/>
      <c r="I79" s="15">
        <f>G79*H79</f>
        <v/>
      </c>
      <c r="J79" s="5" t="inlineStr">
        <is>
          <t>一番人気。物販で3本売れた</t>
        </is>
      </c>
      <c r="K79" s="24" t="n"/>
    </row>
    <row r="80">
      <c r="A80" s="34" t="n">
        <v>2</v>
      </c>
      <c r="B80" s="5" t="n"/>
      <c r="C80" s="5" t="n"/>
      <c r="D80" s="5" t="n"/>
      <c r="E80" s="5" t="n"/>
      <c r="F80" s="5" t="n"/>
      <c r="G80" s="30" t="n"/>
      <c r="H80" s="30" t="n"/>
      <c r="I80" s="15">
        <f>G80*H80</f>
        <v/>
      </c>
      <c r="J80" s="5" t="n"/>
      <c r="K80" s="24" t="n"/>
    </row>
    <row r="81">
      <c r="A81" s="34" t="n">
        <v>3</v>
      </c>
      <c r="B81" s="5" t="n"/>
      <c r="C81" s="5" t="n"/>
      <c r="D81" s="5" t="n"/>
      <c r="E81" s="5" t="n"/>
      <c r="F81" s="5" t="n"/>
      <c r="G81" s="30" t="n"/>
      <c r="H81" s="30" t="n"/>
      <c r="I81" s="15">
        <f>G81*H81</f>
        <v/>
      </c>
      <c r="J81" s="5" t="n"/>
      <c r="K81" s="24" t="n"/>
    </row>
    <row r="82">
      <c r="A82" s="34" t="n">
        <v>4</v>
      </c>
      <c r="B82" s="5" t="n"/>
      <c r="C82" s="5" t="n"/>
      <c r="D82" s="5" t="n"/>
      <c r="E82" s="5" t="n"/>
      <c r="F82" s="5" t="n"/>
      <c r="G82" s="30" t="n"/>
      <c r="H82" s="30" t="n"/>
      <c r="I82" s="15">
        <f>G82*H82</f>
        <v/>
      </c>
      <c r="J82" s="5" t="n"/>
      <c r="K82" s="24" t="n"/>
    </row>
    <row r="83">
      <c r="A83" s="34" t="n">
        <v>5</v>
      </c>
      <c r="B83" s="5" t="n"/>
      <c r="C83" s="5" t="n"/>
      <c r="D83" s="5" t="n"/>
      <c r="E83" s="5" t="n"/>
      <c r="F83" s="5" t="n"/>
      <c r="G83" s="30" t="n"/>
      <c r="H83" s="30" t="n"/>
      <c r="I83" s="15">
        <f>G83*H83</f>
        <v/>
      </c>
      <c r="J83" s="5" t="n"/>
      <c r="K83" s="24" t="n"/>
    </row>
    <row r="84">
      <c r="A84" s="34" t="n">
        <v>6</v>
      </c>
      <c r="B84" s="5" t="n"/>
      <c r="C84" s="5" t="n"/>
      <c r="D84" s="5" t="n"/>
      <c r="E84" s="5" t="n"/>
      <c r="F84" s="5" t="n"/>
      <c r="G84" s="30" t="n"/>
      <c r="H84" s="30" t="n"/>
      <c r="I84" s="15">
        <f>G84*H84</f>
        <v/>
      </c>
      <c r="J84" s="5" t="n"/>
      <c r="K84" s="24" t="n"/>
    </row>
    <row r="85">
      <c r="A85" s="34" t="n">
        <v>7</v>
      </c>
      <c r="B85" s="5" t="n"/>
      <c r="C85" s="5" t="n"/>
      <c r="D85" s="5" t="n"/>
      <c r="E85" s="5" t="n"/>
      <c r="F85" s="5" t="n"/>
      <c r="G85" s="30" t="n"/>
      <c r="H85" s="30" t="n"/>
      <c r="I85" s="15">
        <f>G85*H85</f>
        <v/>
      </c>
      <c r="J85" s="5" t="n"/>
      <c r="K85" s="24" t="n"/>
    </row>
    <row r="86">
      <c r="A86" s="34" t="n">
        <v>8</v>
      </c>
      <c r="B86" s="5" t="n"/>
      <c r="C86" s="5" t="n"/>
      <c r="D86" s="5" t="n"/>
      <c r="E86" s="5" t="n"/>
      <c r="F86" s="5" t="n"/>
      <c r="G86" s="30" t="n"/>
      <c r="H86" s="30" t="n"/>
      <c r="I86" s="15">
        <f>G86*H86</f>
        <v/>
      </c>
      <c r="J86" s="5" t="n"/>
      <c r="K86" s="24" t="n"/>
    </row>
    <row r="87">
      <c r="A87" s="34" t="n">
        <v>9</v>
      </c>
      <c r="B87" s="5" t="n"/>
      <c r="C87" s="5" t="n"/>
      <c r="D87" s="5" t="n"/>
      <c r="E87" s="5" t="n"/>
      <c r="F87" s="5" t="n"/>
      <c r="G87" s="30" t="n"/>
      <c r="H87" s="30" t="n"/>
      <c r="I87" s="15">
        <f>G87*H87</f>
        <v/>
      </c>
      <c r="J87" s="5" t="n"/>
      <c r="K87" s="24" t="n"/>
    </row>
    <row r="88">
      <c r="A88" s="34" t="n">
        <v>10</v>
      </c>
      <c r="B88" s="5" t="n"/>
      <c r="C88" s="5" t="n"/>
      <c r="D88" s="5" t="n"/>
      <c r="E88" s="5" t="n"/>
      <c r="F88" s="5" t="n"/>
      <c r="G88" s="30" t="n"/>
      <c r="H88" s="30" t="n"/>
      <c r="I88" s="15">
        <f>G88*H88</f>
        <v/>
      </c>
      <c r="J88" s="5" t="n"/>
      <c r="K88" s="24" t="n"/>
    </row>
    <row r="89">
      <c r="B89" s="18" t="inlineStr">
        <is>
          <t>合計</t>
        </is>
      </c>
      <c r="H89" s="15">
        <f>SUM(H79:H88)</f>
        <v/>
      </c>
      <c r="I89" s="15">
        <f>SUM(I79:I88)</f>
        <v/>
      </c>
    </row>
    <row r="90"/>
    <row r="91">
      <c r="A91" s="20" t="inlineStr">
        <is>
          <t>7. 当日の流れ（タイムテーブル）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s="12" t="inlineStr"/>
      <c r="B92" s="12" t="inlineStr">
        <is>
          <t>時刻</t>
        </is>
      </c>
      <c r="C92" s="12" t="inlineStr">
        <is>
          <t>内容</t>
        </is>
      </c>
      <c r="D92" s="25" t="n"/>
      <c r="E92" s="25" t="n"/>
      <c r="F92" s="26" t="n"/>
      <c r="G92" s="12" t="inlineStr">
        <is>
          <t>担当</t>
        </is>
      </c>
      <c r="H92" s="12" t="inlineStr">
        <is>
          <t>実際の進行・メモ</t>
        </is>
      </c>
      <c r="I92" s="25" t="n"/>
      <c r="J92" s="25" t="n"/>
      <c r="K92" s="26" t="n"/>
    </row>
    <row r="93">
      <c r="B93" s="29" t="n">
        <v>0.78125</v>
      </c>
      <c r="C93" s="5" t="inlineStr">
        <is>
          <t>開場・受付（知ったきっかけを確認）</t>
        </is>
      </c>
      <c r="D93" s="24" t="n"/>
      <c r="E93" s="24" t="n"/>
      <c r="F93" s="24" t="n"/>
      <c r="G93" s="5" t="n"/>
      <c r="H93" s="5" t="n"/>
      <c r="I93" s="24" t="n"/>
      <c r="J93" s="24" t="n"/>
      <c r="K93" s="24" t="n"/>
    </row>
    <row r="94">
      <c r="B94" s="29" t="n">
        <v>0.7916666666666666</v>
      </c>
      <c r="C94" s="5" t="inlineStr">
        <is>
          <t>乾杯・ハンガリーワイン紹介</t>
        </is>
      </c>
      <c r="D94" s="24" t="n"/>
      <c r="E94" s="24" t="n"/>
      <c r="F94" s="24" t="n"/>
      <c r="G94" s="5" t="n"/>
      <c r="H94" s="5" t="n"/>
      <c r="I94" s="24" t="n"/>
      <c r="J94" s="24" t="n"/>
      <c r="K94" s="24" t="n"/>
    </row>
    <row r="95">
      <c r="B95" s="29" t="n">
        <v>0.8645833333333334</v>
      </c>
      <c r="C95" s="5" t="inlineStr">
        <is>
          <t>次回案内・LINE登録のお願い</t>
        </is>
      </c>
      <c r="D95" s="24" t="n"/>
      <c r="E95" s="24" t="n"/>
      <c r="F95" s="24" t="n"/>
      <c r="G95" s="5" t="n"/>
      <c r="H95" s="5" t="n"/>
      <c r="I95" s="24" t="n"/>
      <c r="J95" s="24" t="n"/>
      <c r="K95" s="24" t="n"/>
    </row>
    <row r="96">
      <c r="B96" s="29" t="n">
        <v>0.875</v>
      </c>
      <c r="C96" s="5" t="inlineStr">
        <is>
          <t>終了</t>
        </is>
      </c>
      <c r="D96" s="24" t="n"/>
      <c r="E96" s="24" t="n"/>
      <c r="F96" s="24" t="n"/>
      <c r="G96" s="5" t="n"/>
      <c r="H96" s="5" t="n"/>
      <c r="I96" s="24" t="n"/>
      <c r="J96" s="24" t="n"/>
      <c r="K96" s="24" t="n"/>
    </row>
    <row r="97">
      <c r="B97" s="29" t="n"/>
      <c r="C97" s="5" t="n"/>
      <c r="D97" s="24" t="n"/>
      <c r="E97" s="24" t="n"/>
      <c r="F97" s="24" t="n"/>
      <c r="G97" s="5" t="n"/>
      <c r="H97" s="5" t="n"/>
      <c r="I97" s="24" t="n"/>
      <c r="J97" s="24" t="n"/>
      <c r="K97" s="24" t="n"/>
    </row>
    <row r="98">
      <c r="B98" s="29" t="n"/>
      <c r="C98" s="5" t="n"/>
      <c r="D98" s="24" t="n"/>
      <c r="E98" s="24" t="n"/>
      <c r="F98" s="24" t="n"/>
      <c r="G98" s="5" t="n"/>
      <c r="H98" s="5" t="n"/>
      <c r="I98" s="24" t="n"/>
      <c r="J98" s="24" t="n"/>
      <c r="K98" s="24" t="n"/>
    </row>
    <row r="99">
      <c r="B99" s="29" t="n"/>
      <c r="C99" s="5" t="n"/>
      <c r="D99" s="24" t="n"/>
      <c r="E99" s="24" t="n"/>
      <c r="F99" s="24" t="n"/>
      <c r="G99" s="5" t="n"/>
      <c r="H99" s="5" t="n"/>
      <c r="I99" s="24" t="n"/>
      <c r="J99" s="24" t="n"/>
      <c r="K99" s="24" t="n"/>
    </row>
    <row r="100">
      <c r="B100" s="29" t="n"/>
      <c r="C100" s="5" t="n"/>
      <c r="D100" s="24" t="n"/>
      <c r="E100" s="24" t="n"/>
      <c r="F100" s="24" t="n"/>
      <c r="G100" s="5" t="n"/>
      <c r="H100" s="5" t="n"/>
      <c r="I100" s="24" t="n"/>
      <c r="J100" s="24" t="n"/>
      <c r="K100" s="24" t="n"/>
    </row>
    <row r="101"/>
    <row r="102">
      <c r="A102" s="20" t="inlineStr">
        <is>
          <t>8. 振り返り（実施後）</t>
        </is>
      </c>
      <c r="B102" s="21" t="n"/>
      <c r="C102" s="21" t="n"/>
      <c r="D102" s="21" t="n"/>
      <c r="E102" s="21" t="n"/>
      <c r="F102" s="31" t="inlineStr">
        <is>
          <t>開催後3日以内に記入 → 責任者が翌回の方針を判断</t>
        </is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</row>
    <row r="103" ht="48" customHeight="1">
      <c r="B103" s="18" t="inlineStr">
        <is>
          <t>良かった点</t>
        </is>
      </c>
      <c r="C103" s="35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 ht="48" customHeight="1">
      <c r="B104" s="18" t="inlineStr">
        <is>
          <t>課題・トラブル</t>
        </is>
      </c>
      <c r="C104" s="35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 ht="48" customHeight="1">
      <c r="B105" s="18" t="inlineStr">
        <is>
          <t>参加者の声（アンケート・会話から）</t>
        </is>
      </c>
      <c r="C105" s="35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 ht="48" customHeight="1">
      <c r="B106" s="18" t="inlineStr">
        <is>
          <t>集客の振り返り（どの階層で詰まったか）</t>
        </is>
      </c>
      <c r="C106" s="35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 ht="48" customHeight="1">
      <c r="B107" s="18" t="inlineStr">
        <is>
          <t>次回の改善アクション（3つまで）</t>
        </is>
      </c>
      <c r="C107" s="35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 ht="48" customHeight="1">
      <c r="B108" s="18" t="inlineStr">
        <is>
          <t>責任者の判断・次回方針</t>
        </is>
      </c>
      <c r="C108" s="35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/>
    <row r="110">
      <c r="A110" s="20" t="inlineStr">
        <is>
          <t>9. 参加者リスト</t>
        </is>
      </c>
      <c r="B110" s="21" t="n"/>
      <c r="C110" s="21" t="n"/>
      <c r="D110" s="21" t="n"/>
      <c r="E110" s="21" t="n"/>
      <c r="F110" s="31" t="inlineStr">
        <is>
          <t>個人情報を含むため、記入済みファイルはGitHubに置かず、閲覧権限を絞ったGoogleドライブで管理</t>
        </is>
      </c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</row>
    <row r="111" ht="32" customHeight="1">
      <c r="A111" s="12" t="inlineStr">
        <is>
          <t>No</t>
        </is>
      </c>
      <c r="B111" s="12" t="inlineStr">
        <is>
          <t>氏名</t>
        </is>
      </c>
      <c r="C111" s="12" t="inlineStr">
        <is>
          <t>フリガナ</t>
        </is>
      </c>
      <c r="D111" s="12" t="inlineStr">
        <is>
          <t>性別</t>
        </is>
      </c>
      <c r="E111" s="12" t="inlineStr">
        <is>
          <t>年代</t>
        </is>
      </c>
      <c r="F111" s="12" t="inlineStr">
        <is>
          <t>会社・所属</t>
        </is>
      </c>
      <c r="G111" s="12" t="inlineStr">
        <is>
          <t>役職</t>
        </is>
      </c>
      <c r="H111" s="12" t="inlineStr">
        <is>
          <t>新規/リピート</t>
        </is>
      </c>
      <c r="I111" s="12" t="inlineStr">
        <is>
          <t>知ったきっかけ</t>
        </is>
      </c>
      <c r="J111" s="12" t="inlineStr">
        <is>
          <t>申込日</t>
        </is>
      </c>
      <c r="K111" s="12" t="inlineStr">
        <is>
          <t>決済方法</t>
        </is>
      </c>
      <c r="L111" s="12" t="inlineStr">
        <is>
          <t>ステータス</t>
        </is>
      </c>
      <c r="M111" s="12" t="inlineStr">
        <is>
          <t>会費受領額（円）</t>
        </is>
      </c>
      <c r="N111" s="12" t="inlineStr">
        <is>
          <t>入金確認</t>
        </is>
      </c>
      <c r="O111" s="12" t="inlineStr">
        <is>
          <t>物販購入額（円）</t>
        </is>
      </c>
      <c r="P111" s="12" t="inlineStr">
        <is>
          <t>写真掲載</t>
        </is>
      </c>
      <c r="Q111" s="12" t="inlineStr">
        <is>
          <t>満足度（1-5）</t>
        </is>
      </c>
      <c r="R111" s="12" t="inlineStr">
        <is>
          <t>次回参加意向</t>
        </is>
      </c>
      <c r="S111" s="12" t="inlineStr">
        <is>
          <t>備考（アレルギー・領収書宛名など）</t>
        </is>
      </c>
    </row>
    <row r="112">
      <c r="A112" s="34" t="n">
        <v>1</v>
      </c>
      <c r="B112" s="5" t="inlineStr">
        <is>
          <t>山田 太郎</t>
        </is>
      </c>
      <c r="C112" s="5" t="inlineStr">
        <is>
          <t>ヤマダ タロウ</t>
        </is>
      </c>
      <c r="D112" s="5" t="inlineStr">
        <is>
          <t>男性</t>
        </is>
      </c>
      <c r="E112" s="5" t="inlineStr">
        <is>
          <t>30代</t>
        </is>
      </c>
      <c r="F112" s="5" t="inlineStr">
        <is>
          <t>株式会社サンプル</t>
        </is>
      </c>
      <c r="G112" s="5" t="inlineStr">
        <is>
          <t>営業部長</t>
        </is>
      </c>
      <c r="H112" s="5" t="inlineStr">
        <is>
          <t>新規</t>
        </is>
      </c>
      <c r="I112" s="5" t="inlineStr">
        <is>
          <t>Instagram</t>
        </is>
      </c>
      <c r="J112" s="27" t="n">
        <v>46305</v>
      </c>
      <c r="K112" s="5" t="inlineStr">
        <is>
          <t>クレジットカード</t>
        </is>
      </c>
      <c r="L112" s="5" t="inlineStr">
        <is>
          <t>参加</t>
        </is>
      </c>
      <c r="M112" s="30" t="n">
        <v>7000</v>
      </c>
      <c r="N112" s="5" t="inlineStr">
        <is>
          <t>済</t>
        </is>
      </c>
      <c r="O112" s="30" t="n">
        <v>5000</v>
      </c>
      <c r="P112" s="5" t="inlineStr">
        <is>
          <t>同意</t>
        </is>
      </c>
      <c r="Q112" s="30" t="n">
        <v>5</v>
      </c>
      <c r="R112" s="5" t="inlineStr">
        <is>
          <t>あり</t>
        </is>
      </c>
      <c r="S112" s="5" t="inlineStr">
        <is>
          <t>領収書宛名：株式会社サンプル</t>
        </is>
      </c>
    </row>
    <row r="113">
      <c r="A113" s="34" t="n">
        <v>2</v>
      </c>
      <c r="B113" s="5" t="inlineStr">
        <is>
          <t>佐藤 花子</t>
        </is>
      </c>
      <c r="C113" s="5" t="inlineStr">
        <is>
          <t>サトウ ハナコ</t>
        </is>
      </c>
      <c r="D113" s="5" t="inlineStr">
        <is>
          <t>女性</t>
        </is>
      </c>
      <c r="E113" s="5" t="inlineStr">
        <is>
          <t>20代</t>
        </is>
      </c>
      <c r="F113" s="5" t="inlineStr"/>
      <c r="G113" s="5" t="inlineStr"/>
      <c r="H113" s="5" t="inlineStr">
        <is>
          <t>リピーター</t>
        </is>
      </c>
      <c r="I113" s="5" t="inlineStr">
        <is>
          <t>LINE</t>
        </is>
      </c>
      <c r="J113" s="27" t="n">
        <v>46310</v>
      </c>
      <c r="K113" s="5" t="inlineStr">
        <is>
          <t>当日現金</t>
        </is>
      </c>
      <c r="L113" s="5" t="inlineStr">
        <is>
          <t>参加</t>
        </is>
      </c>
      <c r="M113" s="30" t="n">
        <v>7500</v>
      </c>
      <c r="N113" s="5" t="inlineStr">
        <is>
          <t>済</t>
        </is>
      </c>
      <c r="O113" s="30" t="n">
        <v>0</v>
      </c>
      <c r="P113" s="5" t="inlineStr">
        <is>
          <t>不可</t>
        </is>
      </c>
      <c r="Q113" s="30" t="n">
        <v>4</v>
      </c>
      <c r="R113" s="5" t="inlineStr">
        <is>
          <t>未定</t>
        </is>
      </c>
      <c r="S113" s="5" t="inlineStr">
        <is>
          <t>甲殻類アレルギー</t>
        </is>
      </c>
    </row>
    <row r="114">
      <c r="A114" s="34" t="n">
        <v>3</v>
      </c>
      <c r="B114" s="5" t="inlineStr">
        <is>
          <t>鈴木 一郎</t>
        </is>
      </c>
      <c r="C114" s="5" t="inlineStr">
        <is>
          <t>スズキ イチロウ</t>
        </is>
      </c>
      <c r="D114" s="5" t="inlineStr">
        <is>
          <t>男性</t>
        </is>
      </c>
      <c r="E114" s="5" t="inlineStr">
        <is>
          <t>40代</t>
        </is>
      </c>
      <c r="F114" s="5" t="inlineStr"/>
      <c r="G114" s="5" t="inlineStr"/>
      <c r="H114" s="5" t="inlineStr">
        <is>
          <t>新規</t>
        </is>
      </c>
      <c r="I114" s="5" t="inlineStr">
        <is>
          <t>知人・紹介</t>
        </is>
      </c>
      <c r="J114" s="27" t="n">
        <v>46315</v>
      </c>
      <c r="K114" s="5" t="inlineStr">
        <is>
          <t>銀行振込</t>
        </is>
      </c>
      <c r="L114" s="5" t="inlineStr">
        <is>
          <t>キャンセル</t>
        </is>
      </c>
      <c r="M114" s="30" t="n">
        <v>0</v>
      </c>
      <c r="N114" s="5" t="inlineStr">
        <is>
          <t>未</t>
        </is>
      </c>
      <c r="O114" s="30" t="n">
        <v>0</v>
      </c>
      <c r="P114" s="5" t="inlineStr"/>
      <c r="Q114" s="30" t="n"/>
      <c r="R114" s="5" t="inlineStr"/>
      <c r="S114" s="5" t="inlineStr">
        <is>
          <t>前日キャンセル</t>
        </is>
      </c>
    </row>
    <row r="115">
      <c r="A115" s="34" t="n">
        <v>4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7" t="n"/>
      <c r="K115" s="5" t="n"/>
      <c r="L115" s="5" t="n"/>
      <c r="M115" s="30" t="n"/>
      <c r="N115" s="5" t="n"/>
      <c r="O115" s="30" t="n"/>
      <c r="P115" s="5" t="n"/>
      <c r="Q115" s="30" t="n"/>
      <c r="R115" s="5" t="n"/>
      <c r="S115" s="5" t="n"/>
    </row>
    <row r="116">
      <c r="A116" s="34" t="n">
        <v>5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7" t="n"/>
      <c r="K116" s="5" t="n"/>
      <c r="L116" s="5" t="n"/>
      <c r="M116" s="30" t="n"/>
      <c r="N116" s="5" t="n"/>
      <c r="O116" s="30" t="n"/>
      <c r="P116" s="5" t="n"/>
      <c r="Q116" s="30" t="n"/>
      <c r="R116" s="5" t="n"/>
      <c r="S116" s="5" t="n"/>
    </row>
    <row r="117">
      <c r="A117" s="34" t="n">
        <v>6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7" t="n"/>
      <c r="K117" s="5" t="n"/>
      <c r="L117" s="5" t="n"/>
      <c r="M117" s="30" t="n"/>
      <c r="N117" s="5" t="n"/>
      <c r="O117" s="30" t="n"/>
      <c r="P117" s="5" t="n"/>
      <c r="Q117" s="30" t="n"/>
      <c r="R117" s="5" t="n"/>
      <c r="S117" s="5" t="n"/>
    </row>
    <row r="118">
      <c r="A118" s="34" t="n">
        <v>7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7" t="n"/>
      <c r="K118" s="5" t="n"/>
      <c r="L118" s="5" t="n"/>
      <c r="M118" s="30" t="n"/>
      <c r="N118" s="5" t="n"/>
      <c r="O118" s="30" t="n"/>
      <c r="P118" s="5" t="n"/>
      <c r="Q118" s="30" t="n"/>
      <c r="R118" s="5" t="n"/>
      <c r="S118" s="5" t="n"/>
    </row>
    <row r="119">
      <c r="A119" s="34" t="n">
        <v>8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7" t="n"/>
      <c r="K119" s="5" t="n"/>
      <c r="L119" s="5" t="n"/>
      <c r="M119" s="30" t="n"/>
      <c r="N119" s="5" t="n"/>
      <c r="O119" s="30" t="n"/>
      <c r="P119" s="5" t="n"/>
      <c r="Q119" s="30" t="n"/>
      <c r="R119" s="5" t="n"/>
      <c r="S119" s="5" t="n"/>
    </row>
    <row r="120">
      <c r="A120" s="34" t="n">
        <v>9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7" t="n"/>
      <c r="K120" s="5" t="n"/>
      <c r="L120" s="5" t="n"/>
      <c r="M120" s="30" t="n"/>
      <c r="N120" s="5" t="n"/>
      <c r="O120" s="30" t="n"/>
      <c r="P120" s="5" t="n"/>
      <c r="Q120" s="30" t="n"/>
      <c r="R120" s="5" t="n"/>
      <c r="S120" s="5" t="n"/>
    </row>
    <row r="121">
      <c r="A121" s="34" t="n">
        <v>10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7" t="n"/>
      <c r="K121" s="5" t="n"/>
      <c r="L121" s="5" t="n"/>
      <c r="M121" s="30" t="n"/>
      <c r="N121" s="5" t="n"/>
      <c r="O121" s="30" t="n"/>
      <c r="P121" s="5" t="n"/>
      <c r="Q121" s="30" t="n"/>
      <c r="R121" s="5" t="n"/>
      <c r="S121" s="5" t="n"/>
    </row>
    <row r="122">
      <c r="A122" s="34" t="n">
        <v>11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7" t="n"/>
      <c r="K122" s="5" t="n"/>
      <c r="L122" s="5" t="n"/>
      <c r="M122" s="30" t="n"/>
      <c r="N122" s="5" t="n"/>
      <c r="O122" s="30" t="n"/>
      <c r="P122" s="5" t="n"/>
      <c r="Q122" s="30" t="n"/>
      <c r="R122" s="5" t="n"/>
      <c r="S122" s="5" t="n"/>
    </row>
    <row r="123">
      <c r="A123" s="34" t="n">
        <v>12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7" t="n"/>
      <c r="K123" s="5" t="n"/>
      <c r="L123" s="5" t="n"/>
      <c r="M123" s="30" t="n"/>
      <c r="N123" s="5" t="n"/>
      <c r="O123" s="30" t="n"/>
      <c r="P123" s="5" t="n"/>
      <c r="Q123" s="30" t="n"/>
      <c r="R123" s="5" t="n"/>
      <c r="S123" s="5" t="n"/>
    </row>
    <row r="124">
      <c r="A124" s="34" t="n">
        <v>13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7" t="n"/>
      <c r="K124" s="5" t="n"/>
      <c r="L124" s="5" t="n"/>
      <c r="M124" s="30" t="n"/>
      <c r="N124" s="5" t="n"/>
      <c r="O124" s="30" t="n"/>
      <c r="P124" s="5" t="n"/>
      <c r="Q124" s="30" t="n"/>
      <c r="R124" s="5" t="n"/>
      <c r="S124" s="5" t="n"/>
    </row>
    <row r="125">
      <c r="A125" s="34" t="n">
        <v>14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7" t="n"/>
      <c r="K125" s="5" t="n"/>
      <c r="L125" s="5" t="n"/>
      <c r="M125" s="30" t="n"/>
      <c r="N125" s="5" t="n"/>
      <c r="O125" s="30" t="n"/>
      <c r="P125" s="5" t="n"/>
      <c r="Q125" s="30" t="n"/>
      <c r="R125" s="5" t="n"/>
      <c r="S125" s="5" t="n"/>
    </row>
    <row r="126">
      <c r="A126" s="34" t="n">
        <v>15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7" t="n"/>
      <c r="K126" s="5" t="n"/>
      <c r="L126" s="5" t="n"/>
      <c r="M126" s="30" t="n"/>
      <c r="N126" s="5" t="n"/>
      <c r="O126" s="30" t="n"/>
      <c r="P126" s="5" t="n"/>
      <c r="Q126" s="30" t="n"/>
      <c r="R126" s="5" t="n"/>
      <c r="S126" s="5" t="n"/>
    </row>
    <row r="127">
      <c r="A127" s="34" t="n">
        <v>16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7" t="n"/>
      <c r="K127" s="5" t="n"/>
      <c r="L127" s="5" t="n"/>
      <c r="M127" s="30" t="n"/>
      <c r="N127" s="5" t="n"/>
      <c r="O127" s="30" t="n"/>
      <c r="P127" s="5" t="n"/>
      <c r="Q127" s="30" t="n"/>
      <c r="R127" s="5" t="n"/>
      <c r="S127" s="5" t="n"/>
    </row>
    <row r="128">
      <c r="A128" s="34" t="n">
        <v>17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7" t="n"/>
      <c r="K128" s="5" t="n"/>
      <c r="L128" s="5" t="n"/>
      <c r="M128" s="30" t="n"/>
      <c r="N128" s="5" t="n"/>
      <c r="O128" s="30" t="n"/>
      <c r="P128" s="5" t="n"/>
      <c r="Q128" s="30" t="n"/>
      <c r="R128" s="5" t="n"/>
      <c r="S128" s="5" t="n"/>
    </row>
    <row r="129">
      <c r="A129" s="34" t="n">
        <v>18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7" t="n"/>
      <c r="K129" s="5" t="n"/>
      <c r="L129" s="5" t="n"/>
      <c r="M129" s="30" t="n"/>
      <c r="N129" s="5" t="n"/>
      <c r="O129" s="30" t="n"/>
      <c r="P129" s="5" t="n"/>
      <c r="Q129" s="30" t="n"/>
      <c r="R129" s="5" t="n"/>
      <c r="S129" s="5" t="n"/>
    </row>
    <row r="130">
      <c r="A130" s="34" t="n">
        <v>19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27" t="n"/>
      <c r="K130" s="5" t="n"/>
      <c r="L130" s="5" t="n"/>
      <c r="M130" s="30" t="n"/>
      <c r="N130" s="5" t="n"/>
      <c r="O130" s="30" t="n"/>
      <c r="P130" s="5" t="n"/>
      <c r="Q130" s="30" t="n"/>
      <c r="R130" s="5" t="n"/>
      <c r="S130" s="5" t="n"/>
    </row>
    <row r="131">
      <c r="A131" s="34" t="n">
        <v>20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27" t="n"/>
      <c r="K131" s="5" t="n"/>
      <c r="L131" s="5" t="n"/>
      <c r="M131" s="30" t="n"/>
      <c r="N131" s="5" t="n"/>
      <c r="O131" s="30" t="n"/>
      <c r="P131" s="5" t="n"/>
      <c r="Q131" s="30" t="n"/>
      <c r="R131" s="5" t="n"/>
      <c r="S131" s="5" t="n"/>
    </row>
    <row r="132">
      <c r="A132" s="34" t="n">
        <v>21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27" t="n"/>
      <c r="K132" s="5" t="n"/>
      <c r="L132" s="5" t="n"/>
      <c r="M132" s="30" t="n"/>
      <c r="N132" s="5" t="n"/>
      <c r="O132" s="30" t="n"/>
      <c r="P132" s="5" t="n"/>
      <c r="Q132" s="30" t="n"/>
      <c r="R132" s="5" t="n"/>
      <c r="S132" s="5" t="n"/>
    </row>
    <row r="133">
      <c r="A133" s="34" t="n">
        <v>22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27" t="n"/>
      <c r="K133" s="5" t="n"/>
      <c r="L133" s="5" t="n"/>
      <c r="M133" s="30" t="n"/>
      <c r="N133" s="5" t="n"/>
      <c r="O133" s="30" t="n"/>
      <c r="P133" s="5" t="n"/>
      <c r="Q133" s="30" t="n"/>
      <c r="R133" s="5" t="n"/>
      <c r="S133" s="5" t="n"/>
    </row>
    <row r="134">
      <c r="A134" s="34" t="n">
        <v>23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27" t="n"/>
      <c r="K134" s="5" t="n"/>
      <c r="L134" s="5" t="n"/>
      <c r="M134" s="30" t="n"/>
      <c r="N134" s="5" t="n"/>
      <c r="O134" s="30" t="n"/>
      <c r="P134" s="5" t="n"/>
      <c r="Q134" s="30" t="n"/>
      <c r="R134" s="5" t="n"/>
      <c r="S134" s="5" t="n"/>
    </row>
    <row r="135">
      <c r="A135" s="34" t="n">
        <v>24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27" t="n"/>
      <c r="K135" s="5" t="n"/>
      <c r="L135" s="5" t="n"/>
      <c r="M135" s="30" t="n"/>
      <c r="N135" s="5" t="n"/>
      <c r="O135" s="30" t="n"/>
      <c r="P135" s="5" t="n"/>
      <c r="Q135" s="30" t="n"/>
      <c r="R135" s="5" t="n"/>
      <c r="S135" s="5" t="n"/>
    </row>
    <row r="136">
      <c r="A136" s="34" t="n">
        <v>25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27" t="n"/>
      <c r="K136" s="5" t="n"/>
      <c r="L136" s="5" t="n"/>
      <c r="M136" s="30" t="n"/>
      <c r="N136" s="5" t="n"/>
      <c r="O136" s="30" t="n"/>
      <c r="P136" s="5" t="n"/>
      <c r="Q136" s="30" t="n"/>
      <c r="R136" s="5" t="n"/>
      <c r="S136" s="5" t="n"/>
    </row>
    <row r="137">
      <c r="A137" s="34" t="n">
        <v>26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27" t="n"/>
      <c r="K137" s="5" t="n"/>
      <c r="L137" s="5" t="n"/>
      <c r="M137" s="30" t="n"/>
      <c r="N137" s="5" t="n"/>
      <c r="O137" s="30" t="n"/>
      <c r="P137" s="5" t="n"/>
      <c r="Q137" s="30" t="n"/>
      <c r="R137" s="5" t="n"/>
      <c r="S137" s="5" t="n"/>
    </row>
    <row r="138">
      <c r="A138" s="34" t="n">
        <v>27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27" t="n"/>
      <c r="K138" s="5" t="n"/>
      <c r="L138" s="5" t="n"/>
      <c r="M138" s="30" t="n"/>
      <c r="N138" s="5" t="n"/>
      <c r="O138" s="30" t="n"/>
      <c r="P138" s="5" t="n"/>
      <c r="Q138" s="30" t="n"/>
      <c r="R138" s="5" t="n"/>
      <c r="S138" s="5" t="n"/>
    </row>
    <row r="139">
      <c r="A139" s="34" t="n">
        <v>28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27" t="n"/>
      <c r="K139" s="5" t="n"/>
      <c r="L139" s="5" t="n"/>
      <c r="M139" s="30" t="n"/>
      <c r="N139" s="5" t="n"/>
      <c r="O139" s="30" t="n"/>
      <c r="P139" s="5" t="n"/>
      <c r="Q139" s="30" t="n"/>
      <c r="R139" s="5" t="n"/>
      <c r="S139" s="5" t="n"/>
    </row>
    <row r="140">
      <c r="A140" s="34" t="n">
        <v>29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27" t="n"/>
      <c r="K140" s="5" t="n"/>
      <c r="L140" s="5" t="n"/>
      <c r="M140" s="30" t="n"/>
      <c r="N140" s="5" t="n"/>
      <c r="O140" s="30" t="n"/>
      <c r="P140" s="5" t="n"/>
      <c r="Q140" s="30" t="n"/>
      <c r="R140" s="5" t="n"/>
      <c r="S140" s="5" t="n"/>
    </row>
    <row r="141">
      <c r="A141" s="34" t="n">
        <v>30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27" t="n"/>
      <c r="K141" s="5" t="n"/>
      <c r="L141" s="5" t="n"/>
      <c r="M141" s="30" t="n"/>
      <c r="N141" s="5" t="n"/>
      <c r="O141" s="30" t="n"/>
      <c r="P141" s="5" t="n"/>
      <c r="Q141" s="30" t="n"/>
      <c r="R141" s="5" t="n"/>
      <c r="S141" s="5" t="n"/>
    </row>
    <row r="142">
      <c r="A142" s="34" t="n">
        <v>31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27" t="n"/>
      <c r="K142" s="5" t="n"/>
      <c r="L142" s="5" t="n"/>
      <c r="M142" s="30" t="n"/>
      <c r="N142" s="5" t="n"/>
      <c r="O142" s="30" t="n"/>
      <c r="P142" s="5" t="n"/>
      <c r="Q142" s="30" t="n"/>
      <c r="R142" s="5" t="n"/>
      <c r="S142" s="5" t="n"/>
    </row>
    <row r="143">
      <c r="A143" s="34" t="n">
        <v>32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27" t="n"/>
      <c r="K143" s="5" t="n"/>
      <c r="L143" s="5" t="n"/>
      <c r="M143" s="30" t="n"/>
      <c r="N143" s="5" t="n"/>
      <c r="O143" s="30" t="n"/>
      <c r="P143" s="5" t="n"/>
      <c r="Q143" s="30" t="n"/>
      <c r="R143" s="5" t="n"/>
      <c r="S143" s="5" t="n"/>
    </row>
    <row r="144">
      <c r="A144" s="34" t="n">
        <v>33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27" t="n"/>
      <c r="K144" s="5" t="n"/>
      <c r="L144" s="5" t="n"/>
      <c r="M144" s="30" t="n"/>
      <c r="N144" s="5" t="n"/>
      <c r="O144" s="30" t="n"/>
      <c r="P144" s="5" t="n"/>
      <c r="Q144" s="30" t="n"/>
      <c r="R144" s="5" t="n"/>
      <c r="S144" s="5" t="n"/>
    </row>
    <row r="145">
      <c r="A145" s="34" t="n">
        <v>34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27" t="n"/>
      <c r="K145" s="5" t="n"/>
      <c r="L145" s="5" t="n"/>
      <c r="M145" s="30" t="n"/>
      <c r="N145" s="5" t="n"/>
      <c r="O145" s="30" t="n"/>
      <c r="P145" s="5" t="n"/>
      <c r="Q145" s="30" t="n"/>
      <c r="R145" s="5" t="n"/>
      <c r="S145" s="5" t="n"/>
    </row>
    <row r="146">
      <c r="A146" s="34" t="n">
        <v>35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27" t="n"/>
      <c r="K146" s="5" t="n"/>
      <c r="L146" s="5" t="n"/>
      <c r="M146" s="30" t="n"/>
      <c r="N146" s="5" t="n"/>
      <c r="O146" s="30" t="n"/>
      <c r="P146" s="5" t="n"/>
      <c r="Q146" s="30" t="n"/>
      <c r="R146" s="5" t="n"/>
      <c r="S146" s="5" t="n"/>
    </row>
    <row r="147">
      <c r="A147" s="34" t="n">
        <v>36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27" t="n"/>
      <c r="K147" s="5" t="n"/>
      <c r="L147" s="5" t="n"/>
      <c r="M147" s="30" t="n"/>
      <c r="N147" s="5" t="n"/>
      <c r="O147" s="30" t="n"/>
      <c r="P147" s="5" t="n"/>
      <c r="Q147" s="30" t="n"/>
      <c r="R147" s="5" t="n"/>
      <c r="S147" s="5" t="n"/>
    </row>
    <row r="148">
      <c r="A148" s="34" t="n">
        <v>37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27" t="n"/>
      <c r="K148" s="5" t="n"/>
      <c r="L148" s="5" t="n"/>
      <c r="M148" s="30" t="n"/>
      <c r="N148" s="5" t="n"/>
      <c r="O148" s="30" t="n"/>
      <c r="P148" s="5" t="n"/>
      <c r="Q148" s="30" t="n"/>
      <c r="R148" s="5" t="n"/>
      <c r="S148" s="5" t="n"/>
    </row>
    <row r="149">
      <c r="A149" s="34" t="n">
        <v>38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27" t="n"/>
      <c r="K149" s="5" t="n"/>
      <c r="L149" s="5" t="n"/>
      <c r="M149" s="30" t="n"/>
      <c r="N149" s="5" t="n"/>
      <c r="O149" s="30" t="n"/>
      <c r="P149" s="5" t="n"/>
      <c r="Q149" s="30" t="n"/>
      <c r="R149" s="5" t="n"/>
      <c r="S149" s="5" t="n"/>
    </row>
    <row r="150">
      <c r="A150" s="34" t="n">
        <v>39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27" t="n"/>
      <c r="K150" s="5" t="n"/>
      <c r="L150" s="5" t="n"/>
      <c r="M150" s="30" t="n"/>
      <c r="N150" s="5" t="n"/>
      <c r="O150" s="30" t="n"/>
      <c r="P150" s="5" t="n"/>
      <c r="Q150" s="30" t="n"/>
      <c r="R150" s="5" t="n"/>
      <c r="S150" s="5" t="n"/>
    </row>
    <row r="151">
      <c r="A151" s="34" t="n">
        <v>40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27" t="n"/>
      <c r="K151" s="5" t="n"/>
      <c r="L151" s="5" t="n"/>
      <c r="M151" s="30" t="n"/>
      <c r="N151" s="5" t="n"/>
      <c r="O151" s="30" t="n"/>
      <c r="P151" s="5" t="n"/>
      <c r="Q151" s="30" t="n"/>
      <c r="R151" s="5" t="n"/>
      <c r="S151" s="5" t="n"/>
    </row>
  </sheetData>
  <mergeCells count="112">
    <mergeCell ref="J82:K82"/>
    <mergeCell ref="G59:K59"/>
    <mergeCell ref="G13:I13"/>
    <mergeCell ref="G67:K67"/>
    <mergeCell ref="G61:K61"/>
    <mergeCell ref="C105:K105"/>
    <mergeCell ref="G15:I15"/>
    <mergeCell ref="C7:E7"/>
    <mergeCell ref="G62:K62"/>
    <mergeCell ref="J86:K86"/>
    <mergeCell ref="G16:I16"/>
    <mergeCell ref="G24:K24"/>
    <mergeCell ref="C18:E18"/>
    <mergeCell ref="G33:K33"/>
    <mergeCell ref="G9:I9"/>
    <mergeCell ref="G65:K65"/>
    <mergeCell ref="C93:F93"/>
    <mergeCell ref="G26:K26"/>
    <mergeCell ref="G35:K35"/>
    <mergeCell ref="G63:K63"/>
    <mergeCell ref="I45:K45"/>
    <mergeCell ref="G25:K25"/>
    <mergeCell ref="J71:K71"/>
    <mergeCell ref="G60:K60"/>
    <mergeCell ref="I47:K47"/>
    <mergeCell ref="G52:K52"/>
    <mergeCell ref="J73:K73"/>
    <mergeCell ref="G6:I6"/>
    <mergeCell ref="H96:K96"/>
    <mergeCell ref="J88:K88"/>
    <mergeCell ref="C12:E12"/>
    <mergeCell ref="G14:I14"/>
    <mergeCell ref="C96:F96"/>
    <mergeCell ref="C92:F92"/>
    <mergeCell ref="G28:K28"/>
    <mergeCell ref="J83:K83"/>
    <mergeCell ref="C98:F98"/>
    <mergeCell ref="H93:K93"/>
    <mergeCell ref="G30:K30"/>
    <mergeCell ref="C13:E13"/>
    <mergeCell ref="J85:K85"/>
    <mergeCell ref="M4:O4"/>
    <mergeCell ref="C15:E15"/>
    <mergeCell ref="G55:K55"/>
    <mergeCell ref="G4:K4"/>
    <mergeCell ref="G64:K64"/>
    <mergeCell ref="C108:K108"/>
    <mergeCell ref="H94:K94"/>
    <mergeCell ref="G51:K51"/>
    <mergeCell ref="G54:K54"/>
    <mergeCell ref="G32:K32"/>
    <mergeCell ref="G8:I8"/>
    <mergeCell ref="G17:I17"/>
    <mergeCell ref="C10:E10"/>
    <mergeCell ref="C16:E16"/>
    <mergeCell ref="G56:K56"/>
    <mergeCell ref="G10:I10"/>
    <mergeCell ref="J81:K81"/>
    <mergeCell ref="C9:E9"/>
    <mergeCell ref="G27:K27"/>
    <mergeCell ref="C11:E11"/>
    <mergeCell ref="H97:K97"/>
    <mergeCell ref="G5:I5"/>
    <mergeCell ref="I39:K39"/>
    <mergeCell ref="G66:K66"/>
    <mergeCell ref="I48:K48"/>
    <mergeCell ref="G53:K53"/>
    <mergeCell ref="C106:K106"/>
    <mergeCell ref="J74:K74"/>
    <mergeCell ref="I38:K38"/>
    <mergeCell ref="C97:F97"/>
    <mergeCell ref="G58:K58"/>
    <mergeCell ref="C100:F100"/>
    <mergeCell ref="I40:K40"/>
    <mergeCell ref="C94:F94"/>
    <mergeCell ref="G12:I12"/>
    <mergeCell ref="C6:E6"/>
    <mergeCell ref="C14:E14"/>
    <mergeCell ref="G29:K29"/>
    <mergeCell ref="C104:K104"/>
    <mergeCell ref="H100:K100"/>
    <mergeCell ref="C95:F95"/>
    <mergeCell ref="G31:K31"/>
    <mergeCell ref="G7:I7"/>
    <mergeCell ref="I41:K41"/>
    <mergeCell ref="G21:K21"/>
    <mergeCell ref="C103:K103"/>
    <mergeCell ref="J72:K72"/>
    <mergeCell ref="I43:K43"/>
    <mergeCell ref="H95:K95"/>
    <mergeCell ref="G23:K23"/>
    <mergeCell ref="J84:K84"/>
    <mergeCell ref="J78:K78"/>
    <mergeCell ref="J87:K87"/>
    <mergeCell ref="I42:K42"/>
    <mergeCell ref="H92:K92"/>
    <mergeCell ref="C8:E8"/>
    <mergeCell ref="J80:K80"/>
    <mergeCell ref="C17:E17"/>
    <mergeCell ref="G57:K57"/>
    <mergeCell ref="I44:K44"/>
    <mergeCell ref="J70:K70"/>
    <mergeCell ref="J79:K79"/>
    <mergeCell ref="G34:K34"/>
    <mergeCell ref="H98:K98"/>
    <mergeCell ref="C99:F99"/>
    <mergeCell ref="G11:I11"/>
    <mergeCell ref="I46:K46"/>
    <mergeCell ref="C5:E5"/>
    <mergeCell ref="C107:K107"/>
    <mergeCell ref="G22:K22"/>
    <mergeCell ref="H99:K99"/>
  </mergeCells>
  <dataValidations count="14">
    <dataValidation sqref="C18" showDropDown="0" showInputMessage="0" showErrorMessage="0" allowBlank="1" type="list">
      <formula1>"企画中,募集中,実施済,中止"</formula1>
    </dataValidation>
    <dataValidation sqref="C7" showDropDown="0" showInputMessage="0" showErrorMessage="0" allowBlank="1" type="list">
      <formula1>"経営者交流（Class-E）,for Beginner,その他"</formula1>
    </dataValidation>
    <dataValidation sqref="K6 K7 K8 K9 K10 K11 K12 K13 K14 K15 K16 K17" showDropDown="0" showInputMessage="0" showErrorMessage="0" allowBlank="1" type="list">
      <formula1>"未着手,対応中,完了,対象外"</formula1>
    </dataValidation>
    <dataValidation sqref="F79:F88" showDropDown="0" showInputMessage="0" showErrorMessage="0" allowBlank="1" type="list">
      <formula1>"白,赤,ロゼ,スパークリング,オレンジ,甘口・貴腐,その他"</formula1>
    </dataValidation>
    <dataValidation sqref="D112:D151" showDropDown="0" showInputMessage="0" showErrorMessage="0" allowBlank="1" type="list">
      <formula1>"男性,女性,その他・回答なし"</formula1>
    </dataValidation>
    <dataValidation sqref="E112:E151" showDropDown="0" showInputMessage="0" showErrorMessage="0" allowBlank="1" type="list">
      <formula1>"20代,30代,40代,50代,60代以上"</formula1>
    </dataValidation>
    <dataValidation sqref="H112:H151" showDropDown="0" showInputMessage="0" showErrorMessage="0" allowBlank="1" type="list">
      <formula1>"新規,リピーター"</formula1>
    </dataValidation>
    <dataValidation sqref="I112:I151" showDropDown="0" showInputMessage="0" showErrorMessage="0" allowBlank="1" type="list">
      <formula1>"Instagram,Meta広告,LINE,知人・紹介,以前参加,イベントサイト,メールマガジン,検索,その他"</formula1>
    </dataValidation>
    <dataValidation sqref="K112:K151" showDropDown="0" showInputMessage="0" showErrorMessage="0" allowBlank="1" type="list">
      <formula1>"クレジットカード,銀行振込,当日現金,その他"</formula1>
    </dataValidation>
    <dataValidation sqref="L112:L151" showDropDown="0" showInputMessage="0" showErrorMessage="0" allowBlank="1" type="list">
      <formula1>"申込,参加,キャンセル,無断欠席"</formula1>
    </dataValidation>
    <dataValidation sqref="N112:N151" showDropDown="0" showInputMessage="0" showErrorMessage="0" allowBlank="1" type="list">
      <formula1>"済,未"</formula1>
    </dataValidation>
    <dataValidation sqref="P112:P151" showDropDown="0" showInputMessage="0" showErrorMessage="0" allowBlank="1" type="list">
      <formula1>"同意,不可"</formula1>
    </dataValidation>
    <dataValidation sqref="Q112:Q151" showDropDown="0" showInputMessage="0" showErrorMessage="0" allowBlank="1" type="list">
      <formula1>"1,2,3,4,5"</formula1>
    </dataValidation>
    <dataValidation sqref="R112:R151" showDropDown="0" showInputMessage="0" showErrorMessage="0" allowBlank="1" type="list">
      <formula1>"あり,未定,なし"</formula1>
    </dataValidation>
  </dataValidation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2026-09-23T05:09:14Z</dcterms:created>
  <dcterms:modified xsi:type="dcterms:W3CDTF">2026-09-23T05:09:15Z</dcterms:modified>
</cp:coreProperties>
</file>